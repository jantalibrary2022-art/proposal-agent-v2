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Rates to Confirm" state="visible" r:id="rId5"/>
    <sheet sheetId="3" name="Timeline" state="visible" r:id="rId6"/>
  </sheets>
  <calcPr calcId="171027"/>
</workbook>
</file>

<file path=xl/sharedStrings.xml><?xml version="1.0" encoding="utf-8"?>
<sst xmlns="http://schemas.openxmlformats.org/spreadsheetml/2006/main" count="272" uniqueCount="235">
  <si>
    <t>Project Budget — Earning, Entitled and Organised: Homestead Livelihoods, Entitlement Convergence and a Self-Governing PwD Sangathan in Angara Block, Ranchi</t>
  </si>
  <si>
    <t>Amber cells are estimated rates. Confirm or replace them; see the 'Rates to Confirm' sheet. Totals recalculate automatically.</t>
  </si>
  <si>
    <t>Item</t>
  </si>
  <si>
    <t>Unit</t>
  </si>
  <si>
    <t>Unit cost (₹)</t>
  </si>
  <si>
    <t>Quantity</t>
  </si>
  <si>
    <t>Total (₹)</t>
  </si>
  <si>
    <t>Contributes to</t>
  </si>
  <si>
    <t>Source / note</t>
  </si>
  <si>
    <t>A. A. Human Resources</t>
  </si>
  <si>
    <t>Project Coordinator (1)</t>
  </si>
  <si>
    <t>person-month</t>
  </si>
  <si>
    <t>All outcomes</t>
  </si>
  <si>
    <t>[S27] JSLPS block-level contractual pay band INR 25,000–40,000/month (2019)</t>
  </si>
  <si>
    <t>Field Facilitators (2)</t>
  </si>
  <si>
    <t>O1, O2</t>
  </si>
  <si>
    <t>Draft rate; checked above the Jharkhand minimum-wage floor [S28]; local quote needed</t>
  </si>
  <si>
    <t>Village Coordinators, Sangathan members (10), part-time honorarium</t>
  </si>
  <si>
    <t>O2, O3 (tracking, outreach)</t>
  </si>
  <si>
    <t>Estimate; confirm against JSLPS CRP honoraria</t>
  </si>
  <si>
    <t>Pashu Sakhi / livestock CRP visits</t>
  </si>
  <si>
    <t>visit</t>
  </si>
  <si>
    <t>720 (80 households × 9 months)</t>
  </si>
  <si>
    <t>72,000</t>
  </si>
  <si>
    <t>O1 (livestock survival)</t>
  </si>
  <si>
    <t>Estimate; confirm local Pashu Sakhi rate</t>
  </si>
  <si>
    <t>Accounts &amp; Admin Assistant (part-time, about 50%)</t>
  </si>
  <si>
    <t>month</t>
  </si>
  <si>
    <t>Compliance</t>
  </si>
  <si>
    <t>Estimate; pro-rata rate must meet the skilled minimum wage [S28]</t>
  </si>
  <si>
    <t>Subtotal</t>
  </si>
  <si>
    <t>B. B. Livelihood Interventions</t>
  </si>
  <si>
    <t>Backyard poultry unit: 20 improved-breed birds, night shelter, starter feed, vaccination</t>
  </si>
  <si>
    <t>household</t>
  </si>
  <si>
    <t>Output 1.1 / O1</t>
  </si>
  <si>
    <t>Estimate; confirm with District Animal Husbandry Officer. MPVY may co-fund, and any savings fund additional households [S26]</t>
  </si>
  <si>
    <t>Goat unit: 3 Black Bengal does, vaccination, deworming, insurance, shelter support</t>
  </si>
  <si>
    <t>Estimate; working toward the MPVY 4+1 norm [S26]. MPVY co-funding to be sought</t>
  </si>
  <si>
    <t>Shared breeding buck (1 per 10 goat households)</t>
  </si>
  <si>
    <t>buck</t>
  </si>
  <si>
    <t>O1 (kidding, pass-on)</t>
  </si>
  <si>
    <t>Estimate; local quote needed</t>
  </si>
  <si>
    <t>Oyster mushroom starter kit: spawn, bags, rack, sprayer, 2 cycles (training excluded)</t>
  </si>
  <si>
    <t>Draft rate, now excluding training; confirm with KVK or Birsa Agricultural University spawn lab</t>
  </si>
  <si>
    <t>Raised-bed kitchen garden: bed materials, 2 seasons of seeds, organic inputs, watering can</t>
  </si>
  <si>
    <t>Estimate; explore JSLPS nutri-garden or VB-G RAM G convergence</t>
  </si>
  <si>
    <t>Livelihood skill training, 2 days, block level</t>
  </si>
  <si>
    <t>trainee-day</t>
  </si>
  <si>
    <t>300 (150 × 2)</t>
  </si>
  <si>
    <t>75,000</t>
  </si>
  <si>
    <t>Output 1.1</t>
  </si>
  <si>
    <t>[S30] ATMA cafeteria within-district farmer training norm INR 250/day</t>
  </si>
  <si>
    <t>CRP-led refresher trainings (2 rounds)</t>
  </si>
  <si>
    <t>participant-day</t>
  </si>
  <si>
    <t>Output 1.2</t>
  </si>
  <si>
    <t>[S31] BPKP norm INR 100/participant for one-day CRP training</t>
  </si>
  <si>
    <t>Training accessibility: sign interpreter, escort travel, pictorial/tactile materials</t>
  </si>
  <si>
    <t>batch</t>
  </si>
  <si>
    <t>Inclusion / Output 1.1</t>
  </si>
  <si>
    <t>Estimate</t>
  </si>
  <si>
    <t>Collective marketing kit: egg trays, scales, haat stall fees</t>
  </si>
  <si>
    <t>village group</t>
  </si>
  <si>
    <t>Output 1.2 / O1</t>
  </si>
  <si>
    <t>C. C. Entitlement Facilitation &amp; Convergence</t>
  </si>
  <si>
    <t>Survey enumerators (Months 1–3)</t>
  </si>
  <si>
    <t>person-day</t>
  </si>
  <si>
    <t>Output 2.1</t>
  </si>
  <si>
    <t>Estimate, above the minimum-wage floor [S28]; field staff cover the balance of interviews</t>
  </si>
  <si>
    <t>Accessible consent forms and survey printing</t>
  </si>
  <si>
    <t>member</t>
  </si>
  <si>
    <t>Output 2.1 / data protection</t>
  </si>
  <si>
    <t>UDID / certification camps with DDRC and medical board: accessible venue, water, documentation desk</t>
  </si>
  <si>
    <t>camp</t>
  </si>
  <si>
    <t>Output 2.2 / O2</t>
  </si>
  <si>
    <t>Estimate; seek joint camps with district administration</t>
  </si>
  <si>
    <t>PwD transport support to UDID camps</t>
  </si>
  <si>
    <t>PwD</t>
  </si>
  <si>
    <t>Output 2.2</t>
  </si>
  <si>
    <t>[S23] ADIP transport allowance INR 250/PwD, used as benchmark</t>
  </si>
  <si>
    <t>ADIP assistive-device camp logistics (devices and transport funded by ADIP)</t>
  </si>
  <si>
    <t>Output 2.4 / O2</t>
  </si>
  <si>
    <t>Estimate; ADIP convergence [S21]</t>
  </si>
  <si>
    <t>Application support: CSC fees, photocopies, photos, Aadhaar and bank seeding</t>
  </si>
  <si>
    <t>Output 2.3 / O2</t>
  </si>
  <si>
    <t>Multi-department convergence meets</t>
  </si>
  <si>
    <t>event</t>
  </si>
  <si>
    <t>Output 2.4</t>
  </si>
  <si>
    <t>Encrypted tablets for survey, database and tracker</t>
  </si>
  <si>
    <t>tablet</t>
  </si>
  <si>
    <t>Output 2.1 / 3.3</t>
  </si>
  <si>
    <t>Estimate; handed over to the Sangathan</t>
  </si>
  <si>
    <t>D. D. Sangathan Strengthening</t>
  </si>
  <si>
    <t>Leadership development training, 2 days (2 batches)</t>
  </si>
  <si>
    <t>Output 3.1 / O3</t>
  </si>
  <si>
    <t>[S31] BPKP norm INR 50,000 per 2-day training of 15 resource persons</t>
  </si>
  <si>
    <t>Monthly Sangathan executive meetings</t>
  </si>
  <si>
    <t>meeting</t>
  </si>
  <si>
    <t>O3</t>
  </si>
  <si>
    <t>Registration and formalisation: bylaws, legal fees, general body meeting</t>
  </si>
  <si>
    <t>lump sum</t>
  </si>
  <si>
    <t>Output 3.2 / O3</t>
  </si>
  <si>
    <t>E. E. Monitoring, Documentation &amp; Visibility</t>
  </si>
  <si>
    <t>Field mobility for Coordinator and 2 Field Facilitators</t>
  </si>
  <si>
    <t>Estimate; replaces the draft's lump-sum 'Travel &amp; Misc'</t>
  </si>
  <si>
    <t>Endline income and entitlement-receipt assessment</t>
  </si>
  <si>
    <t>Monitoring for O1, O2</t>
  </si>
  <si>
    <t>Inception meeting with Sangathan, donor and officials</t>
  </si>
  <si>
    <t>Visibility / ownership</t>
  </si>
  <si>
    <t>Sangathan convention combined with livelihood mela</t>
  </si>
  <si>
    <t>O1 marketing, O3, visibility</t>
  </si>
  <si>
    <t>Consent-based documentation: case studies, photo and video</t>
  </si>
  <si>
    <t>Reporting / visibility</t>
  </si>
  <si>
    <t>Reporting, stationery, communication</t>
  </si>
  <si>
    <t>Reporting</t>
  </si>
  <si>
    <t>F. F. Institutional Overheads</t>
  </si>
  <si>
    <t>Administrative overheads (office, utilities, audit, institutional costs) @ 5% of direct costs</t>
  </si>
  <si>
    <t>% of direct costs</t>
  </si>
  <si>
    <t>5% of 28,43,500</t>
  </si>
  <si>
    <t>1,42,175</t>
  </si>
  <si>
    <t>Institutional support</t>
  </si>
  <si>
    <t>Applicant's rate; confirm the donor's overhead cap</t>
  </si>
  <si>
    <t>GRAND TOTAL</t>
  </si>
  <si>
    <t>Rates to Confirm</t>
  </si>
  <si>
    <t>Estimated rate</t>
  </si>
  <si>
    <t>What to confirm or supply</t>
  </si>
  <si>
    <t>Project Coordinator salary</t>
  </si>
  <si>
    <t>INR 28,000/month</t>
  </si>
  <si>
    <t>The benchmark is a 2019 JSLPS notice. Please confirm against a current JSLPS notice or your own pay scale.</t>
  </si>
  <si>
    <t>Field Facilitator salary</t>
  </si>
  <si>
    <t>INR 15,000/month</t>
  </si>
  <si>
    <t>Confirm your pay rate and check it against the Jharkhand Labour Department gazette (1 April 2026) for the semi-skilled or skilled grade.</t>
  </si>
  <si>
    <t>Village Coordinator honorarium</t>
  </si>
  <si>
    <t>INR 1,000/month</t>
  </si>
  <si>
    <t>Confirm with the Sangathan and against local JSLPS CRP honoraria.</t>
  </si>
  <si>
    <t>Pashu Sakhi visit rate</t>
  </si>
  <si>
    <t>INR 100/visit</t>
  </si>
  <si>
    <t>Confirm the local Pashu Sakhi or para-vet rate.</t>
  </si>
  <si>
    <t>Accounts &amp; Admin (part-time)</t>
  </si>
  <si>
    <t>INR 10,000/month</t>
  </si>
  <si>
    <t>Confirm the time share. The pro-rata rate must meet the skilled minimum wage.</t>
  </si>
  <si>
    <t>Poultry unit</t>
  </si>
  <si>
    <t>INR 6,500/household</t>
  </si>
  <si>
    <t>Get a quote for 20 Vanaraja or Kuroiler birds (state their age), a night shelter and feed. Also get the MPVY unit cost and subsidy order from the District Animal Husbandry Officer, Ranchi.</t>
  </si>
  <si>
    <t>Goat unit (3 does + inputs)</t>
  </si>
  <si>
    <t>INR 15,000/household</t>
  </si>
  <si>
    <t>Get the local Black Bengal doe price and the MPVY 4+1 unit cost and subsidy terms.</t>
  </si>
  <si>
    <t>Breeding buck</t>
  </si>
  <si>
    <t>INR 6,000 each</t>
  </si>
  <si>
    <t>Get a local quote.</t>
  </si>
  <si>
    <t>Mushroom kit</t>
  </si>
  <si>
    <t>INR 2,500/household</t>
  </si>
  <si>
    <t>Get a quote from a KVK or BAU spawn lab for 2 cycles.</t>
  </si>
  <si>
    <t>Kitchen garden inputs</t>
  </si>
  <si>
    <t>INR 2,000/household</t>
  </si>
  <si>
    <t>Get a local quote, and check JSLPS or VB-G RAM G convergence.</t>
  </si>
  <si>
    <t>Training accessibility support</t>
  </si>
  <si>
    <t>INR 5,000/batch</t>
  </si>
  <si>
    <t>Confirm the sign-interpreter fee and escort travel cost.</t>
  </si>
  <si>
    <t>Marketing kit</t>
  </si>
  <si>
    <t>INR 2,000/group</t>
  </si>
  <si>
    <t>Confirm the cost of trays, scales and stall fees.</t>
  </si>
  <si>
    <t>Enumerator day rate</t>
  </si>
  <si>
    <t>INR 600/day</t>
  </si>
  <si>
    <t>Confirm the local rate. It must be at or above the minimum wage for the relevant grade.</t>
  </si>
  <si>
    <t>Consent forms and printing</t>
  </si>
  <si>
    <t>INR 10/member</t>
  </si>
  <si>
    <t>Get a local printing quote.</t>
  </si>
  <si>
    <t>UDID camp logistics</t>
  </si>
  <si>
    <t>INR 20,000/camp</t>
  </si>
  <si>
    <t>Confirm the cost, and ask DDRC or the district administration to share costs.</t>
  </si>
  <si>
    <t>ADIP camp logistics</t>
  </si>
  <si>
    <t>INR 30,000</t>
  </si>
  <si>
    <t>Confirm with ALIMCO or DDRC which costs ADIP covers.</t>
  </si>
  <si>
    <t>Application support</t>
  </si>
  <si>
    <t>INR 60/member</t>
  </si>
  <si>
    <t>Confirm CSC and photocopy costs.</t>
  </si>
  <si>
    <t>Convergence meet</t>
  </si>
  <si>
    <t>INR 25,000/event</t>
  </si>
  <si>
    <t>Tablets</t>
  </si>
  <si>
    <t>INR 12,000 each</t>
  </si>
  <si>
    <t>Get a vendor quote that includes encryption and a device-lock capability.</t>
  </si>
  <si>
    <t>Executive meetings</t>
  </si>
  <si>
    <t>INR 4,000/meeting</t>
  </si>
  <si>
    <t>Confirm travel support and refreshment costs.</t>
  </si>
  <si>
    <t>Registration</t>
  </si>
  <si>
    <t>INR 25,000</t>
  </si>
  <si>
    <t>Confirm society registration fees and legal costs in Ranchi.</t>
  </si>
  <si>
    <t>Field mobility</t>
  </si>
  <si>
    <t>INR 2,500/person-month</t>
  </si>
  <si>
    <t>Confirm your organisational travel policy.</t>
  </si>
  <si>
    <t>Endline assessment</t>
  </si>
  <si>
    <t>INR 600/day × 30</t>
  </si>
  <si>
    <t>Confirm the rate.</t>
  </si>
  <si>
    <t>Inception meeting, convention and mela, documentation, reporting</t>
  </si>
  <si>
    <t>INR 20,000; 50,000; 25,000; 1,500/month</t>
  </si>
  <si>
    <t>Get local quotes.</t>
  </si>
  <si>
    <t>Overhead rate</t>
  </si>
  <si>
    <t>5% of direct costs</t>
  </si>
  <si>
    <t>Confirm Usha Martin Foundation's admin cap and your audited overhead needs.</t>
  </si>
  <si>
    <t>Implementation Timeline</t>
  </si>
  <si>
    <t>Activity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</si>
  <si>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</si>
  <si>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</si>
  <si>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</si>
  <si>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</si>
  <si>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</si>
  <si>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</si>
  <si>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</si>
  <si>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</si>
  <si>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</si>
  <si>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</si>
  <si>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</si>
  <si>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</si>
  <si>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Sangathan consent resolution, staff induction, inception meeting</t>
  </si>
  <si>
    <t>Data-protection protocol, secure tracker setup</t>
  </si>
  <si>
    <t>Consent-based needs assessment / baseline</t>
  </si>
  <si>
    <t>Livelihood participant selection (inclusion criteria)</t>
  </si>
  <si>
    <t>Livelihood trainings</t>
  </si>
  <si>
    <t>Poultry, mushroom, kitchen-garden input distribution</t>
  </si>
  <si>
    <t>Goat distribution (after vaccination; outside peak monsoon)</t>
  </si>
  <si>
    <t>Pashu Sakhi visits and handholding</t>
  </si>
  <si>
    <t>CRP refresher trainings</t>
  </si>
  <si>
    <t>Collective marketing and goat pass-on</t>
  </si>
  <si>
    <t>MPVY applications</t>
  </si>
  <si>
    <t>UDID / certification camps</t>
  </si>
  <si>
    <t>SVNSPY and other scheme applications</t>
  </si>
  <si>
    <t>ADIP assistive-device camp</t>
  </si>
  <si>
    <t>Convergence meets</t>
  </si>
  <si>
    <t>Scheme tracker follow-up and escalation</t>
  </si>
  <si>
    <t>Leadership training batches</t>
  </si>
  <si>
    <t>Bylaws, general body, elections, registration filing</t>
  </si>
  <si>
    <t>Mid-term review</t>
  </si>
  <si>
    <t>Sangathan convention and livelihood mela</t>
  </si>
  <si>
    <t>Endline assessment, completion report, tracker handover</t>
  </si>
  <si>
    <t>Shaded cells = active quarters. Q1–Q2 mobilisation; Q3–Q6 capacity-building &amp; assets; Q7–Q8 consolidation &amp; transition.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</si>
</sst>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"/>
  </numFmts>
  <fonts count="7" x14ac:knownFonts="1">
    <font>
      <color theme="1"/>
      <family val="2"/>
      <scheme val="minor"/>
      <sz val="11"/>
      <name val="Calibri"/>
    </font>
    <font>
      <b/>
      <color rgb="FF0F3D34"/>
      <sz val="14"/>
    </font>
    <font>
      <i/>
      <color rgb="FF8A5A00"/>
      <sz val="9"/>
    </font>
    <font>
      <b/>
      <color rgb="FFFFFFFF"/>
    </font>
    <font>
      <b/>
      <color rgb="FF0F3D34"/>
    </font>
    <font>
      <b/>
      <color rgb="FF8A5A00"/>
      <sz val="14"/>
    </font>
    <font>
      <i/>
      <color rgb="FF5A6763"/>
      <sz val="9"/>
    </font>
  </fonts>
  <fills count="7">
    <fill>
      <patternFill patternType="none"/>
    </fill>
    <fill>
      <patternFill patternType="gray125"/>
    </fill>
    <fill>
      <patternFill patternType="solid">
        <fgColor rgb="FF0F3D34"/>
      </patternFill>
    </fill>
    <fill>
      <patternFill patternType="solid">
        <fgColor rgb="FF0F6E5C"/>
      </patternFill>
    </fill>
    <fill>
      <patternFill patternType="solid">
        <fgColor rgb="FFFCE8CC"/>
      </patternFill>
    </fill>
    <fill>
      <patternFill patternType="solid">
        <fgColor rgb="FFEEF2EF"/>
      </patternFill>
    </fill>
    <fill>
      <patternFill patternType="solid">
        <fgColor rgb="FF8A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3" borderId="0" xfId="0" applyFont="1" applyFill="1"/>
    <xf numFmtId="164" fontId="0" fillId="0" borderId="0" xfId="0" applyNumberFormat="1"/>
    <xf numFmtId="164" fontId="0" fillId="4" borderId="0" xfId="0" applyNumberFormat="1" applyFill="1"/>
    <xf numFmtId="0" fontId="4" fillId="5" borderId="0" xfId="0" applyFont="1" applyFill="1"/>
    <xf numFmtId="164" fontId="4" fillId="5" borderId="0" xfId="0" applyNumberFormat="1" applyFont="1" applyFill="1"/>
    <xf numFmtId="0" fontId="0" fillId="4" borderId="0" xfId="0" applyFill="1"/>
    <xf numFmtId="0" fontId="3" fillId="2" borderId="0" xfId="0" applyFont="1" applyFill="1"/>
    <xf numFmtId="164" fontId="3" fillId="2" borderId="0" xfId="0" applyNumberFormat="1" applyFont="1" applyFill="1"/>
    <xf numFmtId="0" fontId="5" fillId="0" borderId="0" xfId="0" applyFont="1"/>
    <xf numFmtId="0" fontId="3" fillId="6" borderId="0" xfId="0" applyFont="1" applyFill="1"/>
    <xf numFmtId="0" fontId="0" fillId="0" borderId="0" xfId="0" applyAlignment="1">
      <alignment wrapText="1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34" customWidth="1"/>
    <col min="2" max="2" width="13" customWidth="1"/>
    <col min="3" max="3" width="14" customWidth="1"/>
    <col min="5" max="5" width="16" customWidth="1"/>
    <col min="6" max="6" width="26" customWidth="1"/>
    <col min="7" max="7" width="34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/>
      <c r="C4" s="4"/>
      <c r="D4" s="4"/>
      <c r="E4" s="4"/>
      <c r="F4" s="4"/>
      <c r="G4" s="4"/>
    </row>
    <row r="5" spans="1:7" x14ac:dyDescent="0.25">
      <c r="A5" t="s">
        <v>10</v>
      </c>
      <c r="B5" t="s">
        <v>11</v>
      </c>
      <c r="C5" s="5">
        <v>28000</v>
      </c>
      <c r="D5">
        <v>12</v>
      </c>
      <c r="E5" s="5">
        <f>C5*D5</f>
      </c>
      <c r="F5" t="s">
        <v>12</v>
      </c>
      <c r="G5" t="s">
        <v>13</v>
      </c>
    </row>
    <row r="6" spans="1:7" x14ac:dyDescent="0.25">
      <c r="A6" t="s">
        <v>14</v>
      </c>
      <c r="B6" t="s">
        <v>11</v>
      </c>
      <c r="C6" s="6">
        <v>15000</v>
      </c>
      <c r="D6">
        <v>24</v>
      </c>
      <c r="E6" s="5">
        <f>C6*D6</f>
      </c>
      <c r="F6" t="s">
        <v>15</v>
      </c>
      <c r="G6" t="s">
        <v>16</v>
      </c>
    </row>
    <row r="7" spans="1:7" x14ac:dyDescent="0.25">
      <c r="A7" t="s">
        <v>17</v>
      </c>
      <c r="B7" t="s">
        <v>11</v>
      </c>
      <c r="C7" s="6">
        <v>1000</v>
      </c>
      <c r="D7">
        <v>120</v>
      </c>
      <c r="E7" s="5">
        <f>C7*D7</f>
      </c>
      <c r="F7" t="s">
        <v>18</v>
      </c>
      <c r="G7" t="s">
        <v>19</v>
      </c>
    </row>
    <row r="8" spans="1:7" x14ac:dyDescent="0.25">
      <c r="A8" t="s">
        <v>20</v>
      </c>
      <c r="B8" t="s">
        <v>21</v>
      </c>
      <c r="C8" s="6">
        <v>100</v>
      </c>
      <c r="D8" t="s">
        <v>22</v>
      </c>
      <c r="E8" t="s">
        <v>23</v>
      </c>
      <c r="F8" t="s">
        <v>24</v>
      </c>
      <c r="G8" t="s">
        <v>25</v>
      </c>
    </row>
    <row r="9" spans="1:7" x14ac:dyDescent="0.25">
      <c r="A9" t="s">
        <v>26</v>
      </c>
      <c r="B9" t="s">
        <v>27</v>
      </c>
      <c r="C9" s="6">
        <v>10000</v>
      </c>
      <c r="D9">
        <v>12</v>
      </c>
      <c r="E9" s="5">
        <f>C9*D9</f>
      </c>
      <c r="F9" t="s">
        <v>28</v>
      </c>
      <c r="G9" t="s">
        <v>29</v>
      </c>
    </row>
    <row r="10" spans="4:5" x14ac:dyDescent="0.25">
      <c r="D10" s="7" t="s">
        <v>30</v>
      </c>
      <c r="E10" s="8">
        <f>SUM(E5:E9)</f>
      </c>
    </row>
    <row r="11" spans="1:7" x14ac:dyDescent="0.25">
      <c r="A11" s="4" t="s">
        <v>31</v>
      </c>
      <c r="B11" s="4"/>
      <c r="C11" s="4"/>
      <c r="D11" s="4"/>
      <c r="E11" s="4"/>
      <c r="F11" s="4"/>
      <c r="G11" s="4"/>
    </row>
    <row r="12" spans="1:7" x14ac:dyDescent="0.25">
      <c r="A12" t="s">
        <v>32</v>
      </c>
      <c r="B12" t="s">
        <v>33</v>
      </c>
      <c r="C12" s="6">
        <v>6500</v>
      </c>
      <c r="D12">
        <v>50</v>
      </c>
      <c r="E12" s="5">
        <f>C12*D12</f>
      </c>
      <c r="F12" t="s">
        <v>34</v>
      </c>
      <c r="G12" t="s">
        <v>35</v>
      </c>
    </row>
    <row r="13" spans="1:7" x14ac:dyDescent="0.25">
      <c r="A13" t="s">
        <v>36</v>
      </c>
      <c r="B13" t="s">
        <v>33</v>
      </c>
      <c r="C13" s="6">
        <v>15000</v>
      </c>
      <c r="D13">
        <v>30</v>
      </c>
      <c r="E13" s="5">
        <f>C13*D13</f>
      </c>
      <c r="F13" t="s">
        <v>34</v>
      </c>
      <c r="G13" t="s">
        <v>37</v>
      </c>
    </row>
    <row r="14" spans="1:7" x14ac:dyDescent="0.25">
      <c r="A14" t="s">
        <v>38</v>
      </c>
      <c r="B14" t="s">
        <v>39</v>
      </c>
      <c r="C14" s="6">
        <v>6000</v>
      </c>
      <c r="D14">
        <v>3</v>
      </c>
      <c r="E14" s="5">
        <f>C14*D14</f>
      </c>
      <c r="F14" t="s">
        <v>40</v>
      </c>
      <c r="G14" t="s">
        <v>41</v>
      </c>
    </row>
    <row r="15" spans="1:7" x14ac:dyDescent="0.25">
      <c r="A15" t="s">
        <v>42</v>
      </c>
      <c r="B15" t="s">
        <v>33</v>
      </c>
      <c r="C15" s="6">
        <v>2500</v>
      </c>
      <c r="D15">
        <v>30</v>
      </c>
      <c r="E15" s="5">
        <f>C15*D15</f>
      </c>
      <c r="F15" t="s">
        <v>34</v>
      </c>
      <c r="G15" t="s">
        <v>43</v>
      </c>
    </row>
    <row r="16" spans="1:7" x14ac:dyDescent="0.25">
      <c r="A16" t="s">
        <v>44</v>
      </c>
      <c r="B16" t="s">
        <v>33</v>
      </c>
      <c r="C16" s="6">
        <v>2000</v>
      </c>
      <c r="D16">
        <v>40</v>
      </c>
      <c r="E16" s="5">
        <f>C16*D16</f>
      </c>
      <c r="F16" t="s">
        <v>34</v>
      </c>
      <c r="G16" t="s">
        <v>45</v>
      </c>
    </row>
    <row r="17" spans="1:7" x14ac:dyDescent="0.25">
      <c r="A17" t="s">
        <v>46</v>
      </c>
      <c r="B17" t="s">
        <v>47</v>
      </c>
      <c r="C17" s="5">
        <v>250</v>
      </c>
      <c r="D17" t="s">
        <v>48</v>
      </c>
      <c r="E17" t="s">
        <v>49</v>
      </c>
      <c r="F17" t="s">
        <v>50</v>
      </c>
      <c r="G17" t="s">
        <v>51</v>
      </c>
    </row>
    <row r="18" spans="1:7" x14ac:dyDescent="0.25">
      <c r="A18" t="s">
        <v>52</v>
      </c>
      <c r="B18" t="s">
        <v>53</v>
      </c>
      <c r="C18" s="5">
        <v>100</v>
      </c>
      <c r="D18">
        <v>300</v>
      </c>
      <c r="E18" s="5">
        <f>C18*D18</f>
      </c>
      <c r="F18" t="s">
        <v>54</v>
      </c>
      <c r="G18" t="s">
        <v>55</v>
      </c>
    </row>
    <row r="19" spans="1:7" x14ac:dyDescent="0.25">
      <c r="A19" t="s">
        <v>56</v>
      </c>
      <c r="B19" t="s">
        <v>57</v>
      </c>
      <c r="C19" s="6">
        <v>5000</v>
      </c>
      <c r="D19">
        <v>6</v>
      </c>
      <c r="E19" s="5">
        <f>C19*D19</f>
      </c>
      <c r="F19" t="s">
        <v>58</v>
      </c>
      <c r="G19" t="s">
        <v>59</v>
      </c>
    </row>
    <row r="20" spans="1:7" x14ac:dyDescent="0.25">
      <c r="A20" t="s">
        <v>60</v>
      </c>
      <c r="B20" t="s">
        <v>61</v>
      </c>
      <c r="C20" s="6">
        <v>2000</v>
      </c>
      <c r="D20">
        <v>10</v>
      </c>
      <c r="E20" s="5">
        <f>C20*D20</f>
      </c>
      <c r="F20" t="s">
        <v>62</v>
      </c>
      <c r="G20" t="s">
        <v>59</v>
      </c>
    </row>
    <row r="21" spans="4:5" x14ac:dyDescent="0.25">
      <c r="D21" s="7" t="s">
        <v>30</v>
      </c>
      <c r="E21" s="8">
        <f>SUM(E12:E20)</f>
      </c>
    </row>
    <row r="22" spans="1:7" x14ac:dyDescent="0.25">
      <c r="A22" s="4" t="s">
        <v>63</v>
      </c>
      <c r="B22" s="4"/>
      <c r="C22" s="4"/>
      <c r="D22" s="4"/>
      <c r="E22" s="4"/>
      <c r="F22" s="4"/>
      <c r="G22" s="4"/>
    </row>
    <row r="23" spans="1:7" x14ac:dyDescent="0.25">
      <c r="A23" t="s">
        <v>64</v>
      </c>
      <c r="B23" t="s">
        <v>65</v>
      </c>
      <c r="C23" s="6">
        <v>600</v>
      </c>
      <c r="D23">
        <v>120</v>
      </c>
      <c r="E23" s="5">
        <f>C23*D23</f>
      </c>
      <c r="F23" t="s">
        <v>66</v>
      </c>
      <c r="G23" t="s">
        <v>67</v>
      </c>
    </row>
    <row r="24" spans="1:7" x14ac:dyDescent="0.25">
      <c r="A24" t="s">
        <v>68</v>
      </c>
      <c r="B24" t="s">
        <v>69</v>
      </c>
      <c r="C24" s="6">
        <v>10</v>
      </c>
      <c r="D24">
        <v>1000</v>
      </c>
      <c r="E24" s="5">
        <f>C24*D24</f>
      </c>
      <c r="F24" t="s">
        <v>70</v>
      </c>
      <c r="G24" t="s">
        <v>59</v>
      </c>
    </row>
    <row r="25" spans="1:7" x14ac:dyDescent="0.25">
      <c r="A25" t="s">
        <v>71</v>
      </c>
      <c r="B25" t="s">
        <v>72</v>
      </c>
      <c r="C25" s="6">
        <v>20000</v>
      </c>
      <c r="D25">
        <v>3</v>
      </c>
      <c r="E25" s="5">
        <f>C25*D25</f>
      </c>
      <c r="F25" t="s">
        <v>73</v>
      </c>
      <c r="G25" t="s">
        <v>74</v>
      </c>
    </row>
    <row r="26" spans="1:7" x14ac:dyDescent="0.25">
      <c r="A26" t="s">
        <v>75</v>
      </c>
      <c r="B26" t="s">
        <v>76</v>
      </c>
      <c r="C26" s="5">
        <v>250</v>
      </c>
      <c r="D26">
        <v>250</v>
      </c>
      <c r="E26" s="5">
        <f>C26*D26</f>
      </c>
      <c r="F26" t="s">
        <v>77</v>
      </c>
      <c r="G26" t="s">
        <v>78</v>
      </c>
    </row>
    <row r="27" spans="1:7" x14ac:dyDescent="0.25">
      <c r="A27" t="s">
        <v>79</v>
      </c>
      <c r="B27" t="s">
        <v>72</v>
      </c>
      <c r="C27" s="6">
        <v>30000</v>
      </c>
      <c r="D27">
        <v>1</v>
      </c>
      <c r="E27" s="5">
        <f>C27*D27</f>
      </c>
      <c r="F27" t="s">
        <v>80</v>
      </c>
      <c r="G27" t="s">
        <v>81</v>
      </c>
    </row>
    <row r="28" spans="1:7" x14ac:dyDescent="0.25">
      <c r="A28" t="s">
        <v>82</v>
      </c>
      <c r="B28" t="s">
        <v>69</v>
      </c>
      <c r="C28" s="6">
        <v>60</v>
      </c>
      <c r="D28">
        <v>500</v>
      </c>
      <c r="E28" s="5">
        <f>C28*D28</f>
      </c>
      <c r="F28" t="s">
        <v>83</v>
      </c>
      <c r="G28" t="s">
        <v>59</v>
      </c>
    </row>
    <row r="29" spans="1:7" x14ac:dyDescent="0.25">
      <c r="A29" t="s">
        <v>84</v>
      </c>
      <c r="B29" t="s">
        <v>85</v>
      </c>
      <c r="C29" s="6">
        <v>25000</v>
      </c>
      <c r="D29">
        <v>2</v>
      </c>
      <c r="E29" s="5">
        <f>C29*D29</f>
      </c>
      <c r="F29" t="s">
        <v>86</v>
      </c>
      <c r="G29" t="s">
        <v>59</v>
      </c>
    </row>
    <row r="30" spans="1:7" x14ac:dyDescent="0.25">
      <c r="A30" t="s">
        <v>87</v>
      </c>
      <c r="B30" t="s">
        <v>88</v>
      </c>
      <c r="C30" s="6">
        <v>12000</v>
      </c>
      <c r="D30">
        <v>2</v>
      </c>
      <c r="E30" s="5">
        <f>C30*D30</f>
      </c>
      <c r="F30" t="s">
        <v>89</v>
      </c>
      <c r="G30" t="s">
        <v>90</v>
      </c>
    </row>
    <row r="31" spans="4:5" x14ac:dyDescent="0.25">
      <c r="D31" s="7" t="s">
        <v>30</v>
      </c>
      <c r="E31" s="8">
        <f>SUM(E23:E30)</f>
      </c>
    </row>
    <row r="32" spans="1:7" x14ac:dyDescent="0.25">
      <c r="A32" s="4" t="s">
        <v>91</v>
      </c>
      <c r="B32" s="4"/>
      <c r="C32" s="4"/>
      <c r="D32" s="4"/>
      <c r="E32" s="4"/>
      <c r="F32" s="4"/>
      <c r="G32" s="4"/>
    </row>
    <row r="33" spans="1:7" x14ac:dyDescent="0.25">
      <c r="A33" t="s">
        <v>92</v>
      </c>
      <c r="B33" t="s">
        <v>57</v>
      </c>
      <c r="C33" s="5">
        <v>50000</v>
      </c>
      <c r="D33">
        <v>2</v>
      </c>
      <c r="E33" s="5">
        <f>C33*D33</f>
      </c>
      <c r="F33" t="s">
        <v>93</v>
      </c>
      <c r="G33" t="s">
        <v>94</v>
      </c>
    </row>
    <row r="34" spans="1:7" x14ac:dyDescent="0.25">
      <c r="A34" t="s">
        <v>95</v>
      </c>
      <c r="B34" t="s">
        <v>96</v>
      </c>
      <c r="C34" s="6">
        <v>4000</v>
      </c>
      <c r="D34">
        <v>12</v>
      </c>
      <c r="E34" s="5">
        <f>C34*D34</f>
      </c>
      <c r="F34" t="s">
        <v>97</v>
      </c>
      <c r="G34" t="s">
        <v>59</v>
      </c>
    </row>
    <row r="35" spans="1:7" x14ac:dyDescent="0.25">
      <c r="A35" t="s">
        <v>98</v>
      </c>
      <c r="B35" t="s">
        <v>99</v>
      </c>
      <c r="C35" s="6">
        <v>25000</v>
      </c>
      <c r="D35">
        <v>1</v>
      </c>
      <c r="E35" s="5">
        <f>C35*D35</f>
      </c>
      <c r="F35" t="s">
        <v>100</v>
      </c>
      <c r="G35" t="s">
        <v>59</v>
      </c>
    </row>
    <row r="36" spans="4:5" x14ac:dyDescent="0.25">
      <c r="D36" s="7" t="s">
        <v>30</v>
      </c>
      <c r="E36" s="8">
        <f>SUM(E33:E35)</f>
      </c>
    </row>
    <row r="37" spans="1:7" x14ac:dyDescent="0.25">
      <c r="A37" s="4" t="s">
        <v>101</v>
      </c>
      <c r="B37" s="4"/>
      <c r="C37" s="4"/>
      <c r="D37" s="4"/>
      <c r="E37" s="4"/>
      <c r="F37" s="4"/>
      <c r="G37" s="4"/>
    </row>
    <row r="38" spans="1:7" x14ac:dyDescent="0.25">
      <c r="A38" t="s">
        <v>102</v>
      </c>
      <c r="B38" t="s">
        <v>11</v>
      </c>
      <c r="C38" s="6">
        <v>2500</v>
      </c>
      <c r="D38">
        <v>36</v>
      </c>
      <c r="E38" s="5">
        <f>C38*D38</f>
      </c>
      <c r="F38" t="s">
        <v>12</v>
      </c>
      <c r="G38" t="s">
        <v>103</v>
      </c>
    </row>
    <row r="39" spans="1:7" x14ac:dyDescent="0.25">
      <c r="A39" t="s">
        <v>104</v>
      </c>
      <c r="B39" t="s">
        <v>65</v>
      </c>
      <c r="C39" s="6">
        <v>600</v>
      </c>
      <c r="D39">
        <v>30</v>
      </c>
      <c r="E39" s="5">
        <f>C39*D39</f>
      </c>
      <c r="F39" t="s">
        <v>105</v>
      </c>
      <c r="G39" t="s">
        <v>59</v>
      </c>
    </row>
    <row r="40" spans="1:7" x14ac:dyDescent="0.25">
      <c r="A40" t="s">
        <v>106</v>
      </c>
      <c r="B40" t="s">
        <v>85</v>
      </c>
      <c r="C40" s="6">
        <v>20000</v>
      </c>
      <c r="D40">
        <v>1</v>
      </c>
      <c r="E40" s="5">
        <f>C40*D40</f>
      </c>
      <c r="F40" t="s">
        <v>107</v>
      </c>
      <c r="G40" t="s">
        <v>59</v>
      </c>
    </row>
    <row r="41" spans="1:7" x14ac:dyDescent="0.25">
      <c r="A41" t="s">
        <v>108</v>
      </c>
      <c r="B41" t="s">
        <v>85</v>
      </c>
      <c r="C41" s="6">
        <v>50000</v>
      </c>
      <c r="D41">
        <v>1</v>
      </c>
      <c r="E41" s="5">
        <f>C41*D41</f>
      </c>
      <c r="F41" t="s">
        <v>109</v>
      </c>
      <c r="G41" t="s">
        <v>59</v>
      </c>
    </row>
    <row r="42" spans="1:7" x14ac:dyDescent="0.25">
      <c r="A42" t="s">
        <v>110</v>
      </c>
      <c r="B42" t="s">
        <v>99</v>
      </c>
      <c r="C42" s="6">
        <v>25000</v>
      </c>
      <c r="D42">
        <v>1</v>
      </c>
      <c r="E42" s="5">
        <f>C42*D42</f>
      </c>
      <c r="F42" t="s">
        <v>111</v>
      </c>
      <c r="G42" t="s">
        <v>59</v>
      </c>
    </row>
    <row r="43" spans="1:7" x14ac:dyDescent="0.25">
      <c r="A43" t="s">
        <v>112</v>
      </c>
      <c r="B43" t="s">
        <v>27</v>
      </c>
      <c r="C43" s="6">
        <v>1500</v>
      </c>
      <c r="D43">
        <v>12</v>
      </c>
      <c r="E43" s="5">
        <f>C43*D43</f>
      </c>
      <c r="F43" t="s">
        <v>113</v>
      </c>
      <c r="G43" t="s">
        <v>59</v>
      </c>
    </row>
    <row r="44" spans="4:5" x14ac:dyDescent="0.25">
      <c r="D44" s="7" t="s">
        <v>30</v>
      </c>
      <c r="E44" s="8">
        <f>SUM(E38:E43)</f>
      </c>
    </row>
    <row r="45" spans="1:7" x14ac:dyDescent="0.25">
      <c r="A45" s="4" t="s">
        <v>114</v>
      </c>
      <c r="B45" s="4"/>
      <c r="C45" s="4"/>
      <c r="D45" s="4"/>
      <c r="E45" s="4"/>
      <c r="F45" s="4"/>
      <c r="G45" s="4"/>
    </row>
    <row r="46" spans="1:7" x14ac:dyDescent="0.25">
      <c r="A46" t="s">
        <v>115</v>
      </c>
      <c r="B46" t="s">
        <v>116</v>
      </c>
      <c r="C46" s="9" t="s">
        <v>117</v>
      </c>
      <c r="D46">
        <v>1</v>
      </c>
      <c r="E46" t="s">
        <v>118</v>
      </c>
      <c r="F46" t="s">
        <v>119</v>
      </c>
      <c r="G46" t="s">
        <v>120</v>
      </c>
    </row>
    <row r="47" spans="4:5" x14ac:dyDescent="0.25">
      <c r="D47" s="7" t="s">
        <v>30</v>
      </c>
      <c r="E47" s="8">
        <f>SUM(E46:E46)</f>
      </c>
    </row>
    <row r="49" spans="4:5" x14ac:dyDescent="0.25">
      <c r="D49" s="10" t="s">
        <v>121</v>
      </c>
      <c r="E49" s="11">
        <f>SUM(E10,E21,E31,E36,E44,E47)</f>
      </c>
    </row>
  </sheetData>
  <mergeCells count="8">
    <mergeCell ref="A1:G1"/>
    <mergeCell ref="A2:G2"/>
    <mergeCell ref="A4:G4"/>
    <mergeCell ref="A11:G11"/>
    <mergeCell ref="A22:G22"/>
    <mergeCell ref="A32:G32"/>
    <mergeCell ref="A37:G37"/>
    <mergeCell ref="A45:G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34" customWidth="1"/>
    <col min="2" max="2" width="20" customWidth="1"/>
    <col min="3" max="3" width="60" customWidth="1"/>
  </cols>
  <sheetData>
    <row r="1" ht="24" customHeight="1" spans="1:3" x14ac:dyDescent="0.25">
      <c r="A1" s="12" t="s">
        <v>122</v>
      </c>
      <c r="B1" s="12"/>
      <c r="C1" s="12"/>
    </row>
    <row r="3" spans="1:3" x14ac:dyDescent="0.25">
      <c r="A3" s="13" t="s">
        <v>2</v>
      </c>
      <c r="B3" s="13" t="s">
        <v>123</v>
      </c>
      <c r="C3" s="13" t="s">
        <v>124</v>
      </c>
    </row>
    <row r="4" spans="1:3" x14ac:dyDescent="0.25">
      <c r="A4" t="s">
        <v>125</v>
      </c>
      <c r="B4" t="s">
        <v>126</v>
      </c>
      <c r="C4" s="14" t="s">
        <v>127</v>
      </c>
    </row>
    <row r="5" spans="1:3" x14ac:dyDescent="0.25">
      <c r="A5" t="s">
        <v>128</v>
      </c>
      <c r="B5" t="s">
        <v>129</v>
      </c>
      <c r="C5" s="14" t="s">
        <v>130</v>
      </c>
    </row>
    <row r="6" spans="1:3" x14ac:dyDescent="0.25">
      <c r="A6" t="s">
        <v>131</v>
      </c>
      <c r="B6" t="s">
        <v>132</v>
      </c>
      <c r="C6" s="14" t="s">
        <v>133</v>
      </c>
    </row>
    <row r="7" spans="1:3" x14ac:dyDescent="0.25">
      <c r="A7" t="s">
        <v>134</v>
      </c>
      <c r="B7" t="s">
        <v>135</v>
      </c>
      <c r="C7" s="14" t="s">
        <v>136</v>
      </c>
    </row>
    <row r="8" spans="1:3" x14ac:dyDescent="0.25">
      <c r="A8" t="s">
        <v>137</v>
      </c>
      <c r="B8" t="s">
        <v>138</v>
      </c>
      <c r="C8" s="14" t="s">
        <v>139</v>
      </c>
    </row>
    <row r="9" spans="1:3" x14ac:dyDescent="0.25">
      <c r="A9" t="s">
        <v>140</v>
      </c>
      <c r="B9" t="s">
        <v>141</v>
      </c>
      <c r="C9" s="14" t="s">
        <v>142</v>
      </c>
    </row>
    <row r="10" spans="1:3" x14ac:dyDescent="0.25">
      <c r="A10" t="s">
        <v>143</v>
      </c>
      <c r="B10" t="s">
        <v>144</v>
      </c>
      <c r="C10" s="14" t="s">
        <v>145</v>
      </c>
    </row>
    <row r="11" spans="1:3" x14ac:dyDescent="0.25">
      <c r="A11" t="s">
        <v>146</v>
      </c>
      <c r="B11" t="s">
        <v>147</v>
      </c>
      <c r="C11" s="14" t="s">
        <v>148</v>
      </c>
    </row>
    <row r="12" spans="1:3" x14ac:dyDescent="0.25">
      <c r="A12" t="s">
        <v>149</v>
      </c>
      <c r="B12" t="s">
        <v>150</v>
      </c>
      <c r="C12" s="14" t="s">
        <v>151</v>
      </c>
    </row>
    <row r="13" spans="1:3" x14ac:dyDescent="0.25">
      <c r="A13" t="s">
        <v>152</v>
      </c>
      <c r="B13" t="s">
        <v>153</v>
      </c>
      <c r="C13" s="14" t="s">
        <v>154</v>
      </c>
    </row>
    <row r="14" spans="1:3" x14ac:dyDescent="0.25">
      <c r="A14" t="s">
        <v>155</v>
      </c>
      <c r="B14" t="s">
        <v>156</v>
      </c>
      <c r="C14" s="14" t="s">
        <v>157</v>
      </c>
    </row>
    <row r="15" spans="1:3" x14ac:dyDescent="0.25">
      <c r="A15" t="s">
        <v>158</v>
      </c>
      <c r="B15" t="s">
        <v>159</v>
      </c>
      <c r="C15" s="14" t="s">
        <v>160</v>
      </c>
    </row>
    <row r="16" spans="1:3" x14ac:dyDescent="0.25">
      <c r="A16" t="s">
        <v>161</v>
      </c>
      <c r="B16" t="s">
        <v>162</v>
      </c>
      <c r="C16" s="14" t="s">
        <v>163</v>
      </c>
    </row>
    <row r="17" spans="1:3" x14ac:dyDescent="0.25">
      <c r="A17" t="s">
        <v>164</v>
      </c>
      <c r="B17" t="s">
        <v>165</v>
      </c>
      <c r="C17" s="14" t="s">
        <v>166</v>
      </c>
    </row>
    <row r="18" spans="1:3" x14ac:dyDescent="0.25">
      <c r="A18" t="s">
        <v>167</v>
      </c>
      <c r="B18" t="s">
        <v>168</v>
      </c>
      <c r="C18" s="14" t="s">
        <v>169</v>
      </c>
    </row>
    <row r="19" spans="1:3" x14ac:dyDescent="0.25">
      <c r="A19" t="s">
        <v>170</v>
      </c>
      <c r="B19" t="s">
        <v>171</v>
      </c>
      <c r="C19" s="14" t="s">
        <v>172</v>
      </c>
    </row>
    <row r="20" spans="1:3" x14ac:dyDescent="0.25">
      <c r="A20" t="s">
        <v>173</v>
      </c>
      <c r="B20" t="s">
        <v>174</v>
      </c>
      <c r="C20" s="14" t="s">
        <v>175</v>
      </c>
    </row>
    <row r="21" spans="1:3" x14ac:dyDescent="0.25">
      <c r="A21" t="s">
        <v>176</v>
      </c>
      <c r="B21" t="s">
        <v>177</v>
      </c>
      <c r="C21" s="14" t="s">
        <v>148</v>
      </c>
    </row>
    <row r="22" spans="1:3" x14ac:dyDescent="0.25">
      <c r="A22" t="s">
        <v>178</v>
      </c>
      <c r="B22" t="s">
        <v>179</v>
      </c>
      <c r="C22" s="14" t="s">
        <v>180</v>
      </c>
    </row>
    <row r="23" spans="1:3" x14ac:dyDescent="0.25">
      <c r="A23" t="s">
        <v>181</v>
      </c>
      <c r="B23" t="s">
        <v>182</v>
      </c>
      <c r="C23" s="14" t="s">
        <v>183</v>
      </c>
    </row>
    <row r="24" spans="1:3" x14ac:dyDescent="0.25">
      <c r="A24" t="s">
        <v>184</v>
      </c>
      <c r="B24" t="s">
        <v>185</v>
      </c>
      <c r="C24" s="14" t="s">
        <v>186</v>
      </c>
    </row>
    <row r="25" spans="1:3" x14ac:dyDescent="0.25">
      <c r="A25" t="s">
        <v>187</v>
      </c>
      <c r="B25" t="s">
        <v>188</v>
      </c>
      <c r="C25" s="14" t="s">
        <v>189</v>
      </c>
    </row>
    <row r="26" spans="1:3" x14ac:dyDescent="0.25">
      <c r="A26" t="s">
        <v>190</v>
      </c>
      <c r="B26" t="s">
        <v>191</v>
      </c>
      <c r="C26" s="14" t="s">
        <v>192</v>
      </c>
    </row>
    <row r="27" spans="1:3" x14ac:dyDescent="0.25">
      <c r="A27" t="s">
        <v>193</v>
      </c>
      <c r="B27" t="s">
        <v>194</v>
      </c>
      <c r="C27" s="14" t="s">
        <v>195</v>
      </c>
    </row>
    <row r="28" spans="1:3" x14ac:dyDescent="0.25">
      <c r="A28" t="s">
        <v>196</v>
      </c>
      <c r="B28" t="s">
        <v>197</v>
      </c>
      <c r="C28" s="14" t="s">
        <v>198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FormatPr defaultRowHeight="15" outlineLevelRow="0" outlineLevelCol="0" x14ac:dyDescent="55"/>
  <cols>
    <col min="1" max="1" width="42" customWidth="1"/>
    <col min="2" max="13" width="6" customWidth="1"/>
  </cols>
  <sheetData>
    <row r="1" ht="24" customHeight="1" spans="1:13" x14ac:dyDescent="0.25">
      <c r="A1" s="15" t="s">
        <v>199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x14ac:dyDescent="0.25">
      <c r="A3" s="10" t="s">
        <v>200</v>
      </c>
      <c r="B3" s="16" t="s">
        <v>201</v>
      </c>
      <c r="C3" s="16" t="s">
        <v>202</v>
      </c>
      <c r="D3" s="16" t="s">
        <v>203</v>
      </c>
      <c r="E3" s="16" t="s">
        <v>204</v>
      </c>
      <c r="F3" s="16" t="s">
        <v>205</v>
      </c>
      <c r="G3" s="16" t="s">
        <v>206</v>
      </c>
      <c r="H3" s="16" t="s">
        <v>207</v>
      </c>
      <c r="I3" s="16" t="s">
        <v>208</v>
      </c>
      <c r="J3" s="16" t="s">
        <v>209</v>
      </c>
      <c r="K3" s="16" t="s">
        <v>210</v>
      </c>
      <c r="L3" s="16" t="s">
        <v>211</v>
      </c>
      <c r="M3" s="16" t="s">
        <v>212</v>
      </c>
    </row>
    <row r="4" spans="1:13" x14ac:dyDescent="0.25">
      <c r="A4" t="s">
        <v>213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25">
      <c r="A5" t="s">
        <v>214</v>
      </c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x14ac:dyDescent="0.25">
      <c r="A6" t="s">
        <v>215</v>
      </c>
      <c r="B6" s="17"/>
      <c r="C6" s="17"/>
      <c r="D6" s="17"/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25">
      <c r="A7" t="s">
        <v>216</v>
      </c>
      <c r="B7" s="18"/>
      <c r="C7" s="17"/>
      <c r="D7" s="17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25">
      <c r="A8" t="s">
        <v>217</v>
      </c>
      <c r="B8" s="18"/>
      <c r="C8" s="18"/>
      <c r="D8" s="17"/>
      <c r="E8" s="17"/>
      <c r="F8" s="18"/>
      <c r="G8" s="18"/>
      <c r="H8" s="18"/>
      <c r="I8" s="18"/>
      <c r="J8" s="18"/>
      <c r="K8" s="18"/>
      <c r="L8" s="18"/>
      <c r="M8" s="18"/>
    </row>
    <row r="9" spans="1:13" x14ac:dyDescent="0.25">
      <c r="A9" t="s">
        <v>218</v>
      </c>
      <c r="B9" s="18"/>
      <c r="C9" s="18"/>
      <c r="D9" s="18"/>
      <c r="E9" s="17"/>
      <c r="F9" s="17"/>
      <c r="G9" s="18"/>
      <c r="H9" s="18"/>
      <c r="I9" s="18"/>
      <c r="J9" s="18"/>
      <c r="K9" s="18"/>
      <c r="L9" s="18"/>
      <c r="M9" s="18"/>
    </row>
    <row r="10" spans="1:13" x14ac:dyDescent="0.25">
      <c r="A10" t="s">
        <v>219</v>
      </c>
      <c r="B10" s="18"/>
      <c r="C10" s="18"/>
      <c r="D10" s="18"/>
      <c r="E10" s="17"/>
      <c r="F10" s="17"/>
      <c r="G10" s="18"/>
      <c r="H10" s="18"/>
      <c r="I10" s="18"/>
      <c r="J10" s="18"/>
      <c r="K10" s="18"/>
      <c r="L10" s="18"/>
      <c r="M10" s="18"/>
    </row>
    <row r="11" spans="1:13" x14ac:dyDescent="0.25">
      <c r="A11" t="s">
        <v>220</v>
      </c>
      <c r="B11" s="18"/>
      <c r="C11" s="18"/>
      <c r="D11" s="18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t="s">
        <v>221</v>
      </c>
      <c r="B12" s="18"/>
      <c r="C12" s="18"/>
      <c r="D12" s="18"/>
      <c r="E12" s="18"/>
      <c r="F12" s="18"/>
      <c r="G12" s="17"/>
      <c r="H12" s="18"/>
      <c r="I12" s="18"/>
      <c r="J12" s="17"/>
      <c r="K12" s="18"/>
      <c r="L12" s="18"/>
      <c r="M12" s="18"/>
    </row>
    <row r="13" spans="1:13" x14ac:dyDescent="0.25">
      <c r="A13" t="s">
        <v>222</v>
      </c>
      <c r="B13" s="18"/>
      <c r="C13" s="18"/>
      <c r="D13" s="18"/>
      <c r="E13" s="18"/>
      <c r="F13" s="18"/>
      <c r="G13" s="18"/>
      <c r="H13" s="17"/>
      <c r="I13" s="17"/>
      <c r="J13" s="17"/>
      <c r="K13" s="17"/>
      <c r="L13" s="17"/>
      <c r="M13" s="17"/>
    </row>
    <row r="14" spans="1:13" x14ac:dyDescent="0.25">
      <c r="A14" t="s">
        <v>223</v>
      </c>
      <c r="B14" s="18"/>
      <c r="C14" s="18"/>
      <c r="D14" s="17"/>
      <c r="E14" s="17"/>
      <c r="F14" s="17"/>
      <c r="G14" s="17"/>
      <c r="H14" s="18"/>
      <c r="I14" s="18"/>
      <c r="J14" s="18"/>
      <c r="K14" s="18"/>
      <c r="L14" s="18"/>
      <c r="M14" s="18"/>
    </row>
    <row r="15" spans="1:13" x14ac:dyDescent="0.25">
      <c r="A15" t="s">
        <v>224</v>
      </c>
      <c r="B15" s="18"/>
      <c r="C15" s="18"/>
      <c r="D15" s="18"/>
      <c r="E15" s="17"/>
      <c r="F15" s="18"/>
      <c r="G15" s="17"/>
      <c r="H15" s="18"/>
      <c r="I15" s="17"/>
      <c r="J15" s="18"/>
      <c r="K15" s="18"/>
      <c r="L15" s="18"/>
      <c r="M15" s="18"/>
    </row>
    <row r="16" spans="1:13" x14ac:dyDescent="0.25">
      <c r="A16" t="s">
        <v>225</v>
      </c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8"/>
      <c r="M16" s="18"/>
    </row>
    <row r="17" spans="1:13" x14ac:dyDescent="0.25">
      <c r="A17" t="s">
        <v>226</v>
      </c>
      <c r="B17" s="18"/>
      <c r="C17" s="18"/>
      <c r="D17" s="18"/>
      <c r="E17" s="18"/>
      <c r="F17" s="18"/>
      <c r="G17" s="17"/>
      <c r="H17" s="18"/>
      <c r="I17" s="18"/>
      <c r="J17" s="18"/>
      <c r="K17" s="18"/>
      <c r="L17" s="18"/>
      <c r="M17" s="18"/>
    </row>
    <row r="18" spans="1:13" x14ac:dyDescent="0.25">
      <c r="A18" t="s">
        <v>227</v>
      </c>
      <c r="B18" s="18"/>
      <c r="C18" s="18"/>
      <c r="D18" s="18"/>
      <c r="E18" s="18"/>
      <c r="F18" s="17"/>
      <c r="G18" s="18"/>
      <c r="H18" s="18"/>
      <c r="I18" s="18"/>
      <c r="J18" s="17"/>
      <c r="K18" s="18"/>
      <c r="L18" s="18"/>
      <c r="M18" s="18"/>
    </row>
    <row r="19" spans="1:13" x14ac:dyDescent="0.25">
      <c r="A19" t="s">
        <v>228</v>
      </c>
      <c r="B19" s="18"/>
      <c r="C19" s="18"/>
      <c r="D19" s="18"/>
      <c r="E19" s="18"/>
      <c r="F19" s="17"/>
      <c r="G19" s="17"/>
      <c r="H19" s="17"/>
      <c r="I19" s="17"/>
      <c r="J19" s="17"/>
      <c r="K19" s="17"/>
      <c r="L19" s="17"/>
      <c r="M19" s="17"/>
    </row>
    <row r="20" spans="1:13" x14ac:dyDescent="0.25">
      <c r="A20" t="s">
        <v>95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x14ac:dyDescent="0.25">
      <c r="A21" t="s">
        <v>229</v>
      </c>
      <c r="B21" s="18"/>
      <c r="C21" s="18"/>
      <c r="D21" s="18"/>
      <c r="E21" s="17"/>
      <c r="F21" s="18"/>
      <c r="G21" s="18"/>
      <c r="H21" s="17"/>
      <c r="I21" s="18"/>
      <c r="J21" s="18"/>
      <c r="K21" s="18"/>
      <c r="L21" s="18"/>
      <c r="M21" s="18"/>
    </row>
    <row r="22" spans="1:13" x14ac:dyDescent="0.25">
      <c r="A22" t="s">
        <v>230</v>
      </c>
      <c r="B22" s="18"/>
      <c r="C22" s="18"/>
      <c r="D22" s="18"/>
      <c r="E22" s="18"/>
      <c r="F22" s="18"/>
      <c r="G22" s="17"/>
      <c r="H22" s="17"/>
      <c r="I22" s="17"/>
      <c r="J22" s="17"/>
      <c r="K22" s="17"/>
      <c r="L22" s="17"/>
      <c r="M22" s="18"/>
    </row>
    <row r="23" spans="1:13" x14ac:dyDescent="0.25">
      <c r="A23" t="s">
        <v>231</v>
      </c>
      <c r="B23" s="18"/>
      <c r="C23" s="18"/>
      <c r="D23" s="18"/>
      <c r="E23" s="18"/>
      <c r="F23" s="18"/>
      <c r="G23" s="17"/>
      <c r="H23" s="18"/>
      <c r="I23" s="18"/>
      <c r="J23" s="18"/>
      <c r="K23" s="18"/>
      <c r="L23" s="18"/>
      <c r="M23" s="18"/>
    </row>
    <row r="24" spans="1:13" x14ac:dyDescent="0.25">
      <c r="A24" t="s">
        <v>232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7"/>
      <c r="M24" s="18"/>
    </row>
    <row r="25" spans="1:13" x14ac:dyDescent="0.25">
      <c r="A25" t="s">
        <v>233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7"/>
      <c r="M25" s="17"/>
    </row>
    <row r="27" spans="1:13" x14ac:dyDescent="0.25">
      <c r="A27" s="19" t="s">
        <v>234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</sheetData>
  <mergeCells count="2">
    <mergeCell ref="A1:M1"/>
    <mergeCell ref="A27:M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Rates to Confirm</vt:lpstr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Budget</dc:creator>
  <dc:title/>
  <dc:subject/>
  <dc:description/>
  <cp:keywords/>
  <cp:category/>
  <cp:lastModifiedBy>Unknown</cp:lastModifiedBy>
  <dcterms:created xsi:type="dcterms:W3CDTF">2026-09-30T05:33:42Z</dcterms:created>
  <dcterms:modified xsi:type="dcterms:W3CDTF">2026-09-30T05:33:42Z</dcterms:modified>
</cp:coreProperties>
</file>