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Timeline" state="visible" r:id="rId5"/>
  </sheets>
  <calcPr calcId="171027"/>
</workbook>
</file>

<file path=xl/sharedStrings.xml><?xml version="1.0" encoding="utf-8"?>
<sst xmlns="http://schemas.openxmlformats.org/spreadsheetml/2006/main" count="156" uniqueCount="149">
  <si>
    <t>Project Budget — Poshan Saathi: SHG-led Kitchen Gardens, Nutrition Counselling and ICDS Convergence for Mothers and Young Children in Murhu, Khunti</t>
  </si>
  <si>
    <t>Amber cells are estimated rates. Confirm or replace them; see the 'Rates to Confirm' sheet. Totals recalculate automatically.</t>
  </si>
  <si>
    <t>Item</t>
  </si>
  <si>
    <t>Unit</t>
  </si>
  <si>
    <t>Unit cost (₹)</t>
  </si>
  <si>
    <t>Quantity</t>
  </si>
  <si>
    <t>Total (₹)</t>
  </si>
  <si>
    <t>Contributes to</t>
  </si>
  <si>
    <t>Source / note</t>
  </si>
  <si>
    <t>A. Personnel &amp; Salaries</t>
  </si>
  <si>
    <t>Project Coordinator (1 FTE)</t>
  </si>
  <si>
    <t>person-month</t>
  </si>
  <si>
    <t>Overall management, block and district convergence, reporting</t>
  </si>
  <si>
    <t>JSLPS block-level professional band Rs 25,000–40,000/month (GoJ Rural Development Department notification, 2019). Upper end used; escalation not applied.</t>
  </si>
  <si>
    <t>Nutrition and Health Convergence Officer (1 FTE)</t>
  </si>
  <si>
    <t>Counselling content, ICDS and health linkages, referral systems</t>
  </si>
  <si>
    <t>JSLPS block-level band Rs 25,000–40,000 (2019). Middle of band, below the Project Coordinator.</t>
  </si>
  <si>
    <t>Livelihoods / Kitchen Garden Specialist (50% FTE)</t>
  </si>
  <si>
    <t>person-month (pro-rata)</t>
  </si>
  <si>
    <t>Garden design, crop planning, climate-resilient practices, household training</t>
  </si>
  <si>
    <t>JSLPS band (2019), 50% of a Rs 36,000 FTE, within the pro-rata range Rs 12,500–20,000</t>
  </si>
  <si>
    <t>MEL and Data Officer (50% FTE)</t>
  </si>
  <si>
    <t>Tracking system, data quality, progress reporting</t>
  </si>
  <si>
    <t>JSLPS band (2019), 50% of a Rs 28,000 FTE, lower end as advised</t>
  </si>
  <si>
    <t>Field Facilitators / Cluster Coordinators (4, one per 5-village cluster)</t>
  </si>
  <si>
    <t>Village implementation, SHG facilitation, CNRP supervision</t>
  </si>
  <si>
    <t>Estimate based on typical NGO field facilitator pay in rural Jharkhand (graduate, two-wheeler travel). No authoritative norm found.</t>
  </si>
  <si>
    <t>Community Nutrition Resource Persons (40 SHG women, 2 per village, months 3–24)</t>
  </si>
  <si>
    <t>honorarium per person-month</t>
  </si>
  <si>
    <t>Group counselling, cooking demonstrations, home visits, household tracking</t>
  </si>
  <si>
    <t>Estimate set above the NHM ASHA-facilitator floor of about Rs 3,000/month (Rs 150/day × 20 days), which is only a weak proxy</t>
  </si>
  <si>
    <t>Subtotal</t>
  </si>
  <si>
    <t>B. Programme / Activity Costs</t>
  </si>
  <si>
    <t>Kitchen garden seed kits (vegetables, greens, millets, pulses)</t>
  </si>
  <si>
    <t>per household kit per season</t>
  </si>
  <si>
    <t>Garden establishment in about 1,200 households for 2 seasons in Year 1; Year-2 seed from seed banks</t>
  </si>
  <si>
    <t>Estimate for a multi-crop local kit. The Odisha minikit rate of Rs 75 (2009-10) is out-of-state, dated and seeds only, so it is used for order of magnitude only.</t>
  </si>
  <si>
    <t>Fruit sapling set (5 saplings, e.g. moringa, papaya, lemon)</t>
  </si>
  <si>
    <t>per household (one-time)</t>
  </si>
  <si>
    <t>Perennial micronutrient sources</t>
  </si>
  <si>
    <t>Estimate from local nursery pricing. No Jharkhand norm found.</t>
  </si>
  <si>
    <t>Village demonstration plots and community seed banks</t>
  </si>
  <si>
    <t>per village</t>
  </si>
  <si>
    <t>Hands-on learning and continued seed availability</t>
  </si>
  <si>
    <t>Estimate for plot inputs, seed storage containers and registers. No official per-village norm found.</t>
  </si>
  <si>
    <t>Low-cost water management and fencing for demonstration plots</t>
  </si>
  <si>
    <t>per demonstration plot</t>
  </si>
  <si>
    <t>Year-round viability and protection from livestock; household fencing sought via MGNREGA</t>
  </si>
  <si>
    <t>Estimate for live or bamboo fencing, greywater channel and drum storage. No official norm found.</t>
  </si>
  <si>
    <t>Household kitchen garden training (1-day village batches of 30)</t>
  </si>
  <si>
    <t>per training batch</t>
  </si>
  <si>
    <t>Skills for garden establishment and maintenance</t>
  </si>
  <si>
    <t>ATMA cafeteria norm Rs 400 per trainee per day (MANAGE; Bilaspur district site) × 30 × 1 day, scaled to a non-residential session</t>
  </si>
  <si>
    <t>CNRP initial residential training (3 batches × 2 modules, 2 days each)</t>
  </si>
  <si>
    <t>per 2-day batch of about 15</t>
  </si>
  <si>
    <t>Counselling capacity of the community cadre</t>
  </si>
  <si>
    <t>BPKP guidelines (2021): Rs 50,000 per 2-day training of 15 CRPs by external resource persons</t>
  </si>
  <si>
    <t>CNRP non-residential refreshers (6 days × 40)</t>
  </si>
  <si>
    <t>per participant-day</t>
  </si>
  <si>
    <t>Ongoing skill reinforcement</t>
  </si>
  <si>
    <t>ATMA cafeteria rate Rs 400 per trainee per day (MANAGE cost norms)</t>
  </si>
  <si>
    <t>Joint AWW, ASHA and SHG leader trainings (8 batches of about 30, 1 day)</t>
  </si>
  <si>
    <t>Shared convergence routines with frontline workers</t>
  </si>
  <si>
    <t>Build-up: 2 resource persons × Rs 500 (NHM BRIDGE norm) plus about Rs 400 per participant for TA/DA and logistics (ATMA proxy). State TA/DA norm not found.</t>
  </si>
  <si>
    <t>Cooking demonstrations and nutrition session materials</t>
  </si>
  <si>
    <t>per session</t>
  </si>
  <si>
    <t>Behaviour change on dietary diversity and IYCF</t>
  </si>
  <si>
    <t>Estimate for local food ingredients and fuel. The POSHAN community-event rate was seen only in an unofficial source, so it is not cited.</t>
  </si>
  <si>
    <t>Pictorial counselling flipbook kits in local language (40 CNRP + 20 Anganwadi centre)</t>
  </si>
  <si>
    <t>per set</t>
  </si>
  <si>
    <t>Consistent messages for low-literacy audiences</t>
  </si>
  <si>
    <t>Estimate from typical design and print costs for laminated flipbooks. No per-set norm found.</t>
  </si>
  <si>
    <t>Household pictorial take-home cards</t>
  </si>
  <si>
    <t>per household</t>
  </si>
  <si>
    <t>Reinforcing messages at home</t>
  </si>
  <si>
    <t>Estimate from local print pricing</t>
  </si>
  <si>
    <t>Supplementary growth-monitoring kit (scale, MUAC tapes, infantometer)</t>
  </si>
  <si>
    <t>per set per village</t>
  </si>
  <si>
    <t>Community growth tracking alongside the AWW</t>
  </si>
  <si>
    <t>Estimate. MWCD device specifications exist, but no unit cost was found.</t>
  </si>
  <si>
    <t>Referral and follow-up support (transport or escort contingency)</t>
  </si>
  <si>
    <t>per referral case</t>
  </si>
  <si>
    <t>Access of at-risk children and mothers to CHC and MTC where government transport is unavailable</t>
  </si>
  <si>
    <t>Estimate of local travel and escort cost. The case count is a planning figure, not a prevalence estimate.</t>
  </si>
  <si>
    <t>Block-level convergence meetings (quarterly)</t>
  </si>
  <si>
    <t>per meeting</t>
  </si>
  <si>
    <t>Institutionalising coordination with ICDS and health</t>
  </si>
  <si>
    <t>NHM ASHA support budget provisions: Rs 9,000 per year for monthly block meeting refreshments (about Rs 750 per meeting)</t>
  </si>
  <si>
    <t>District-level convergence meetings (half-yearly)</t>
  </si>
  <si>
    <t>District buy-in from DSWO, Civil Surgeon and JSLPS</t>
  </si>
  <si>
    <t>Estimate for venue, refreshments and materials. The NHM norm covers block refreshments only.</t>
  </si>
  <si>
    <t>Exposure visits within Jharkhand (60 participants × 2 days × 2 visits)</t>
  </si>
  <si>
    <t>per participant per day</t>
  </si>
  <si>
    <t>Peer learning for SHG leaders and CNRPs</t>
  </si>
  <si>
    <t>ATMA cafeteria exposure visit norm, within-state rate Rs 400 per participant per day (Bilaspur district site)</t>
  </si>
  <si>
    <t>Baseline and endline surveys</t>
  </si>
  <si>
    <t>per survey round</t>
  </si>
  <si>
    <t>Measuring change in outcome indicators, including anthropometry</t>
  </si>
  <si>
    <t>Estimate for a sample survey of about 500 households by a regional agency. No official norm found.</t>
  </si>
  <si>
    <t>Mobile devices for household tracking (4 field facilitators + 20 lead CNRPs)</t>
  </si>
  <si>
    <t>per device</t>
  </si>
  <si>
    <t>Tracking mothers, children and gardens (open-source data collection tool)</t>
  </si>
  <si>
    <t>Estimate for an entry-level Android smartphone. The MWCD POSHAN smartphone figure was not found.</t>
  </si>
  <si>
    <t>Mobile data for tracking devices</t>
  </si>
  <si>
    <t>per device-month</t>
  </si>
  <si>
    <t>Data upload and review</t>
  </si>
  <si>
    <t>Estimate from prepaid data plan pricing</t>
  </si>
  <si>
    <t>Documentation and learning products</t>
  </si>
  <si>
    <t>lump sum</t>
  </si>
  <si>
    <t>Case studies, learning briefs, dissemination</t>
  </si>
  <si>
    <t>Estimate for writing, design, printing and a dissemination event</t>
  </si>
  <si>
    <t>Staff travel and local conveyance (6 field-based staff)</t>
  </si>
  <si>
    <t>per person-month</t>
  </si>
  <si>
    <t>Field presence across 20 villages</t>
  </si>
  <si>
    <t>Estimate for two-wheeler fuel and reimbursement in rural Khunti. No norm found.</t>
  </si>
  <si>
    <t>C. Administrative / Overheads</t>
  </si>
  <si>
    <t>Field office running costs, Murhu (rent, utilities, internet, stationery)</t>
  </si>
  <si>
    <t>per month</t>
  </si>
  <si>
    <t>Operational base in or near Murhu</t>
  </si>
  <si>
    <t>Estimate for small block-level office costs in rural Jharkhand. Local quote needed.</t>
  </si>
  <si>
    <t>Administrative and overhead costs (finance, compliance, statutory audit, HQ management)</t>
  </si>
  <si>
    <t>7% of direct costs (Rs 1,30,74,400)</t>
  </si>
  <si>
    <t>Organisational management, finance, compliance and audit</t>
  </si>
  <si>
    <t>Estimated rate set to fit the ceiling. No scheme norm found; the donor's permitted rate will apply.</t>
  </si>
  <si>
    <t>GRAND TOTAL</t>
  </si>
  <si>
    <t>Implementation Timeline</t>
  </si>
  <si>
    <t>Activity</t>
  </si>
  <si>
    <t>Q1</t>
  </si>
  <si>
    <t>Q2</t>
  </si>
  <si>
    <t>Q3</t>
  </si>
  <si>
    <t>Q4</t>
  </si>
  <si>
    <t>Q5</t>
  </si>
  <si>
    <t>Q6</t>
  </si>
  <si>
    <t>Q7</t>
  </si>
  <si>
    <t>Q8</t>
  </si>
  <si>
    <t>A1 Inception, village selection, mapping, MoUs, SHG/Village Organisation orientation</t>
  </si>
  <si>
    <t>A2 Baseline survey</t>
  </si>
  <si>
    <t>A3 Village nutrition action plans</t>
  </si>
  <si>
    <t>A4 Household garden training and kits</t>
  </si>
  <si>
    <t>A5 Demonstration plots and seed banks</t>
  </si>
  <si>
    <t>A6 CNRP selection, training and refreshers</t>
  </si>
  <si>
    <t>A7 Counselling, cooking demonstrations, home visits</t>
  </si>
  <si>
    <t>A8 ICDS and health convergence, VHSND linkage, PMMVY support</t>
  </si>
  <si>
    <t>A9 Growth tracking, referral and post-MTC follow-up</t>
  </si>
  <si>
    <t>A10 Joint trainings, exposure visits, convergence meetings</t>
  </si>
  <si>
    <t>A11 Tracking system, reviews, documentation</t>
  </si>
  <si>
    <t>A11 Endline survey</t>
  </si>
  <si>
    <t>A12 Sustainability and handover</t>
  </si>
  <si>
    <t>Shaded cells = active quarters. Q1–Q2 mobilisation; Q3–Q6 capacity-building &amp; assets; Q7–Q8 consolidation &amp; transition.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</si>
</sst>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6" x14ac:knownFonts="1">
    <font>
      <color theme="1"/>
      <family val="2"/>
      <scheme val="minor"/>
      <sz val="11"/>
      <name val="Calibri"/>
    </font>
    <font>
      <b/>
      <color rgb="FF0F3D34"/>
      <sz val="14"/>
    </font>
    <font>
      <i/>
      <color rgb="FF8A5A00"/>
      <sz val="9"/>
    </font>
    <font>
      <b/>
      <color rgb="FFFFFFFF"/>
    </font>
    <font>
      <b/>
      <color rgb="FF0F3D34"/>
    </font>
    <font>
      <i/>
      <color rgb="FF5A6763"/>
      <sz val="9"/>
    </font>
  </fonts>
  <fills count="6">
    <fill>
      <patternFill patternType="none"/>
    </fill>
    <fill>
      <patternFill patternType="gray125"/>
    </fill>
    <fill>
      <patternFill patternType="solid">
        <fgColor rgb="FF0F3D34"/>
      </patternFill>
    </fill>
    <fill>
      <patternFill patternType="solid">
        <fgColor rgb="FF0F6E5C"/>
      </patternFill>
    </fill>
    <fill>
      <patternFill patternType="solid">
        <fgColor rgb="FFFCE8CC"/>
      </patternFill>
    </fill>
    <fill>
      <patternFill patternType="solid">
        <fgColor rgb="FF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164" fontId="0" fillId="0" borderId="0" xfId="0" applyNumberFormat="1"/>
    <xf numFmtId="164" fontId="0" fillId="4" borderId="0" xfId="0" applyNumberFormat="1" applyFill="1"/>
    <xf numFmtId="0" fontId="4" fillId="5" borderId="0" xfId="0" applyFont="1" applyFill="1"/>
    <xf numFmtId="164" fontId="4" fillId="5" borderId="0" xfId="0" applyNumberFormat="1" applyFont="1" applyFill="1"/>
    <xf numFmtId="0" fontId="3" fillId="2" borderId="0" xfId="0" applyFont="1" applyFill="1"/>
    <xf numFmtId="164" fontId="3" fillId="2" borderId="0" xfId="0" applyNumberFormat="1" applyFont="1" applyFill="1"/>
    <xf numFmtId="0" fontId="1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34" customWidth="1"/>
    <col min="2" max="2" width="13" customWidth="1"/>
    <col min="3" max="3" width="14" customWidth="1"/>
    <col min="5" max="5" width="16" customWidth="1"/>
    <col min="6" max="6" width="26" customWidth="1"/>
    <col min="7" max="7" width="34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/>
      <c r="C4" s="4"/>
      <c r="D4" s="4"/>
      <c r="E4" s="4"/>
      <c r="F4" s="4"/>
      <c r="G4" s="4"/>
    </row>
    <row r="5" spans="1:7" x14ac:dyDescent="0.25">
      <c r="A5" t="s">
        <v>10</v>
      </c>
      <c r="B5" t="s">
        <v>11</v>
      </c>
      <c r="C5" s="5">
        <v>40000</v>
      </c>
      <c r="D5">
        <v>24</v>
      </c>
      <c r="E5" s="5">
        <f>C5*D5</f>
      </c>
      <c r="F5" t="s">
        <v>12</v>
      </c>
      <c r="G5" t="s">
        <v>13</v>
      </c>
    </row>
    <row r="6" spans="1:7" x14ac:dyDescent="0.25">
      <c r="A6" t="s">
        <v>14</v>
      </c>
      <c r="B6" t="s">
        <v>11</v>
      </c>
      <c r="C6" s="5">
        <v>32000</v>
      </c>
      <c r="D6">
        <v>24</v>
      </c>
      <c r="E6" s="5">
        <f>C6*D6</f>
      </c>
      <c r="F6" t="s">
        <v>15</v>
      </c>
      <c r="G6" t="s">
        <v>16</v>
      </c>
    </row>
    <row r="7" spans="1:7" x14ac:dyDescent="0.25">
      <c r="A7" t="s">
        <v>17</v>
      </c>
      <c r="B7" t="s">
        <v>18</v>
      </c>
      <c r="C7" s="5">
        <v>18000</v>
      </c>
      <c r="D7">
        <v>24</v>
      </c>
      <c r="E7" s="5">
        <f>C7*D7</f>
      </c>
      <c r="F7" t="s">
        <v>19</v>
      </c>
      <c r="G7" t="s">
        <v>20</v>
      </c>
    </row>
    <row r="8" spans="1:7" x14ac:dyDescent="0.25">
      <c r="A8" t="s">
        <v>21</v>
      </c>
      <c r="B8" t="s">
        <v>18</v>
      </c>
      <c r="C8" s="5">
        <v>14000</v>
      </c>
      <c r="D8">
        <v>24</v>
      </c>
      <c r="E8" s="5">
        <f>C8*D8</f>
      </c>
      <c r="F8" t="s">
        <v>22</v>
      </c>
      <c r="G8" t="s">
        <v>23</v>
      </c>
    </row>
    <row r="9" spans="1:7" x14ac:dyDescent="0.25">
      <c r="A9" t="s">
        <v>24</v>
      </c>
      <c r="B9" t="s">
        <v>11</v>
      </c>
      <c r="C9" s="6">
        <v>18000</v>
      </c>
      <c r="D9">
        <v>96</v>
      </c>
      <c r="E9" s="5">
        <f>C9*D9</f>
      </c>
      <c r="F9" t="s">
        <v>25</v>
      </c>
      <c r="G9" t="s">
        <v>26</v>
      </c>
    </row>
    <row r="10" spans="1:7" x14ac:dyDescent="0.25">
      <c r="A10" t="s">
        <v>27</v>
      </c>
      <c r="B10" t="s">
        <v>28</v>
      </c>
      <c r="C10" s="6">
        <v>3500</v>
      </c>
      <c r="D10">
        <v>880</v>
      </c>
      <c r="E10" s="5">
        <f>C10*D10</f>
      </c>
      <c r="F10" t="s">
        <v>29</v>
      </c>
      <c r="G10" t="s">
        <v>30</v>
      </c>
    </row>
    <row r="11" spans="4:5" x14ac:dyDescent="0.25">
      <c r="D11" s="7" t="s">
        <v>31</v>
      </c>
      <c r="E11" s="8">
        <f>SUM(E5:E10)</f>
      </c>
    </row>
    <row r="12" spans="1:7" x14ac:dyDescent="0.25">
      <c r="A12" s="4" t="s">
        <v>32</v>
      </c>
      <c r="B12" s="4"/>
      <c r="C12" s="4"/>
      <c r="D12" s="4"/>
      <c r="E12" s="4"/>
      <c r="F12" s="4"/>
      <c r="G12" s="4"/>
    </row>
    <row r="13" spans="1:7" x14ac:dyDescent="0.25">
      <c r="A13" t="s">
        <v>33</v>
      </c>
      <c r="B13" t="s">
        <v>34</v>
      </c>
      <c r="C13" s="6">
        <v>350</v>
      </c>
      <c r="D13">
        <v>2400</v>
      </c>
      <c r="E13" s="5">
        <f>C13*D13</f>
      </c>
      <c r="F13" t="s">
        <v>35</v>
      </c>
      <c r="G13" t="s">
        <v>36</v>
      </c>
    </row>
    <row r="14" spans="1:7" x14ac:dyDescent="0.25">
      <c r="A14" t="s">
        <v>37</v>
      </c>
      <c r="B14" t="s">
        <v>38</v>
      </c>
      <c r="C14" s="6">
        <v>250</v>
      </c>
      <c r="D14">
        <v>1200</v>
      </c>
      <c r="E14" s="5">
        <f>C14*D14</f>
      </c>
      <c r="F14" t="s">
        <v>39</v>
      </c>
      <c r="G14" t="s">
        <v>40</v>
      </c>
    </row>
    <row r="15" spans="1:7" x14ac:dyDescent="0.25">
      <c r="A15" t="s">
        <v>41</v>
      </c>
      <c r="B15" t="s">
        <v>42</v>
      </c>
      <c r="C15" s="6">
        <v>25000</v>
      </c>
      <c r="D15">
        <v>20</v>
      </c>
      <c r="E15" s="5">
        <f>C15*D15</f>
      </c>
      <c r="F15" t="s">
        <v>43</v>
      </c>
      <c r="G15" t="s">
        <v>44</v>
      </c>
    </row>
    <row r="16" spans="1:7" x14ac:dyDescent="0.25">
      <c r="A16" t="s">
        <v>45</v>
      </c>
      <c r="B16" t="s">
        <v>46</v>
      </c>
      <c r="C16" s="6">
        <v>15000</v>
      </c>
      <c r="D16">
        <v>20</v>
      </c>
      <c r="E16" s="5">
        <f>C16*D16</f>
      </c>
      <c r="F16" t="s">
        <v>47</v>
      </c>
      <c r="G16" t="s">
        <v>48</v>
      </c>
    </row>
    <row r="17" spans="1:7" x14ac:dyDescent="0.25">
      <c r="A17" t="s">
        <v>49</v>
      </c>
      <c r="B17" t="s">
        <v>50</v>
      </c>
      <c r="C17" s="5">
        <v>12000</v>
      </c>
      <c r="D17">
        <v>40</v>
      </c>
      <c r="E17" s="5">
        <f>C17*D17</f>
      </c>
      <c r="F17" t="s">
        <v>51</v>
      </c>
      <c r="G17" t="s">
        <v>52</v>
      </c>
    </row>
    <row r="18" spans="1:7" x14ac:dyDescent="0.25">
      <c r="A18" t="s">
        <v>53</v>
      </c>
      <c r="B18" t="s">
        <v>54</v>
      </c>
      <c r="C18" s="5">
        <v>50000</v>
      </c>
      <c r="D18">
        <v>6</v>
      </c>
      <c r="E18" s="5">
        <f>C18*D18</f>
      </c>
      <c r="F18" t="s">
        <v>55</v>
      </c>
      <c r="G18" t="s">
        <v>56</v>
      </c>
    </row>
    <row r="19" spans="1:7" x14ac:dyDescent="0.25">
      <c r="A19" t="s">
        <v>57</v>
      </c>
      <c r="B19" t="s">
        <v>58</v>
      </c>
      <c r="C19" s="5">
        <v>400</v>
      </c>
      <c r="D19">
        <v>240</v>
      </c>
      <c r="E19" s="5">
        <f>C19*D19</f>
      </c>
      <c r="F19" t="s">
        <v>59</v>
      </c>
      <c r="G19" t="s">
        <v>60</v>
      </c>
    </row>
    <row r="20" spans="1:7" x14ac:dyDescent="0.25">
      <c r="A20" t="s">
        <v>61</v>
      </c>
      <c r="B20" t="s">
        <v>50</v>
      </c>
      <c r="C20" s="6">
        <v>13000</v>
      </c>
      <c r="D20">
        <v>8</v>
      </c>
      <c r="E20" s="5">
        <f>C20*D20</f>
      </c>
      <c r="F20" t="s">
        <v>62</v>
      </c>
      <c r="G20" t="s">
        <v>63</v>
      </c>
    </row>
    <row r="21" spans="1:7" x14ac:dyDescent="0.25">
      <c r="A21" t="s">
        <v>64</v>
      </c>
      <c r="B21" t="s">
        <v>65</v>
      </c>
      <c r="C21" s="6">
        <v>500</v>
      </c>
      <c r="D21">
        <v>440</v>
      </c>
      <c r="E21" s="5">
        <f>C21*D21</f>
      </c>
      <c r="F21" t="s">
        <v>66</v>
      </c>
      <c r="G21" t="s">
        <v>67</v>
      </c>
    </row>
    <row r="22" spans="1:7" x14ac:dyDescent="0.25">
      <c r="A22" t="s">
        <v>68</v>
      </c>
      <c r="B22" t="s">
        <v>69</v>
      </c>
      <c r="C22" s="6">
        <v>2500</v>
      </c>
      <c r="D22">
        <v>60</v>
      </c>
      <c r="E22" s="5">
        <f>C22*D22</f>
      </c>
      <c r="F22" t="s">
        <v>70</v>
      </c>
      <c r="G22" t="s">
        <v>71</v>
      </c>
    </row>
    <row r="23" spans="1:7" x14ac:dyDescent="0.25">
      <c r="A23" t="s">
        <v>72</v>
      </c>
      <c r="B23" t="s">
        <v>73</v>
      </c>
      <c r="C23" s="6">
        <v>50</v>
      </c>
      <c r="D23">
        <v>1200</v>
      </c>
      <c r="E23" s="5">
        <f>C23*D23</f>
      </c>
      <c r="F23" t="s">
        <v>74</v>
      </c>
      <c r="G23" t="s">
        <v>75</v>
      </c>
    </row>
    <row r="24" spans="1:7" x14ac:dyDescent="0.25">
      <c r="A24" t="s">
        <v>76</v>
      </c>
      <c r="B24" t="s">
        <v>77</v>
      </c>
      <c r="C24" s="6">
        <v>6000</v>
      </c>
      <c r="D24">
        <v>20</v>
      </c>
      <c r="E24" s="5">
        <f>C24*D24</f>
      </c>
      <c r="F24" t="s">
        <v>78</v>
      </c>
      <c r="G24" t="s">
        <v>79</v>
      </c>
    </row>
    <row r="25" spans="1:7" x14ac:dyDescent="0.25">
      <c r="A25" t="s">
        <v>80</v>
      </c>
      <c r="B25" t="s">
        <v>81</v>
      </c>
      <c r="C25" s="6">
        <v>1500</v>
      </c>
      <c r="D25">
        <v>60</v>
      </c>
      <c r="E25" s="5">
        <f>C25*D25</f>
      </c>
      <c r="F25" t="s">
        <v>82</v>
      </c>
      <c r="G25" t="s">
        <v>83</v>
      </c>
    </row>
    <row r="26" spans="1:7" x14ac:dyDescent="0.25">
      <c r="A26" t="s">
        <v>84</v>
      </c>
      <c r="B26" t="s">
        <v>85</v>
      </c>
      <c r="C26" s="5">
        <v>750</v>
      </c>
      <c r="D26">
        <v>8</v>
      </c>
      <c r="E26" s="5">
        <f>C26*D26</f>
      </c>
      <c r="F26" t="s">
        <v>86</v>
      </c>
      <c r="G26" t="s">
        <v>87</v>
      </c>
    </row>
    <row r="27" spans="1:7" x14ac:dyDescent="0.25">
      <c r="A27" t="s">
        <v>88</v>
      </c>
      <c r="B27" t="s">
        <v>85</v>
      </c>
      <c r="C27" s="6">
        <v>5000</v>
      </c>
      <c r="D27">
        <v>4</v>
      </c>
      <c r="E27" s="5">
        <f>C27*D27</f>
      </c>
      <c r="F27" t="s">
        <v>89</v>
      </c>
      <c r="G27" t="s">
        <v>90</v>
      </c>
    </row>
    <row r="28" spans="1:7" x14ac:dyDescent="0.25">
      <c r="A28" t="s">
        <v>91</v>
      </c>
      <c r="B28" t="s">
        <v>92</v>
      </c>
      <c r="C28" s="5">
        <v>400</v>
      </c>
      <c r="D28">
        <v>240</v>
      </c>
      <c r="E28" s="5">
        <f>C28*D28</f>
      </c>
      <c r="F28" t="s">
        <v>93</v>
      </c>
      <c r="G28" t="s">
        <v>94</v>
      </c>
    </row>
    <row r="29" spans="1:7" x14ac:dyDescent="0.25">
      <c r="A29" t="s">
        <v>95</v>
      </c>
      <c r="B29" t="s">
        <v>96</v>
      </c>
      <c r="C29" s="6">
        <v>350000</v>
      </c>
      <c r="D29">
        <v>2</v>
      </c>
      <c r="E29" s="5">
        <f>C29*D29</f>
      </c>
      <c r="F29" t="s">
        <v>97</v>
      </c>
      <c r="G29" t="s">
        <v>98</v>
      </c>
    </row>
    <row r="30" spans="1:7" x14ac:dyDescent="0.25">
      <c r="A30" t="s">
        <v>99</v>
      </c>
      <c r="B30" t="s">
        <v>100</v>
      </c>
      <c r="C30" s="6">
        <v>10000</v>
      </c>
      <c r="D30">
        <v>24</v>
      </c>
      <c r="E30" s="5">
        <f>C30*D30</f>
      </c>
      <c r="F30" t="s">
        <v>101</v>
      </c>
      <c r="G30" t="s">
        <v>102</v>
      </c>
    </row>
    <row r="31" spans="1:7" x14ac:dyDescent="0.25">
      <c r="A31" t="s">
        <v>103</v>
      </c>
      <c r="B31" t="s">
        <v>104</v>
      </c>
      <c r="C31" s="6">
        <v>150</v>
      </c>
      <c r="D31">
        <v>576</v>
      </c>
      <c r="E31" s="5">
        <f>C31*D31</f>
      </c>
      <c r="F31" t="s">
        <v>105</v>
      </c>
      <c r="G31" t="s">
        <v>106</v>
      </c>
    </row>
    <row r="32" spans="1:7" x14ac:dyDescent="0.25">
      <c r="A32" t="s">
        <v>107</v>
      </c>
      <c r="B32" t="s">
        <v>108</v>
      </c>
      <c r="C32" s="6">
        <v>150000</v>
      </c>
      <c r="D32">
        <v>1</v>
      </c>
      <c r="E32" s="5">
        <f>C32*D32</f>
      </c>
      <c r="F32" t="s">
        <v>109</v>
      </c>
      <c r="G32" t="s">
        <v>110</v>
      </c>
    </row>
    <row r="33" spans="1:7" x14ac:dyDescent="0.25">
      <c r="A33" t="s">
        <v>111</v>
      </c>
      <c r="B33" t="s">
        <v>112</v>
      </c>
      <c r="C33" s="6">
        <v>3000</v>
      </c>
      <c r="D33">
        <v>144</v>
      </c>
      <c r="E33" s="5">
        <f>C33*D33</f>
      </c>
      <c r="F33" t="s">
        <v>113</v>
      </c>
      <c r="G33" t="s">
        <v>114</v>
      </c>
    </row>
    <row r="34" spans="4:5" x14ac:dyDescent="0.25">
      <c r="D34" s="7" t="s">
        <v>31</v>
      </c>
      <c r="E34" s="8">
        <f>SUM(E13:E33)</f>
      </c>
    </row>
    <row r="35" spans="1:7" x14ac:dyDescent="0.25">
      <c r="A35" s="4" t="s">
        <v>115</v>
      </c>
      <c r="B35" s="4"/>
      <c r="C35" s="4"/>
      <c r="D35" s="4"/>
      <c r="E35" s="4"/>
      <c r="F35" s="4"/>
      <c r="G35" s="4"/>
    </row>
    <row r="36" spans="1:7" x14ac:dyDescent="0.25">
      <c r="A36" t="s">
        <v>116</v>
      </c>
      <c r="B36" t="s">
        <v>117</v>
      </c>
      <c r="C36" s="6">
        <v>20000</v>
      </c>
      <c r="D36">
        <v>24</v>
      </c>
      <c r="E36" s="5">
        <f>C36*D36</f>
      </c>
      <c r="F36" t="s">
        <v>118</v>
      </c>
      <c r="G36" t="s">
        <v>119</v>
      </c>
    </row>
    <row r="37" spans="1:7" x14ac:dyDescent="0.25">
      <c r="A37" t="s">
        <v>120</v>
      </c>
      <c r="B37" t="s">
        <v>121</v>
      </c>
      <c r="C37" s="6">
        <v>915208</v>
      </c>
      <c r="D37">
        <v>1</v>
      </c>
      <c r="E37" s="5">
        <f>C37*D37</f>
      </c>
      <c r="F37" t="s">
        <v>122</v>
      </c>
      <c r="G37" t="s">
        <v>123</v>
      </c>
    </row>
    <row r="38" spans="4:5" x14ac:dyDescent="0.25">
      <c r="D38" s="7" t="s">
        <v>31</v>
      </c>
      <c r="E38" s="8">
        <f>SUM(E36:E37)</f>
      </c>
    </row>
    <row r="40" spans="4:5" x14ac:dyDescent="0.25">
      <c r="D40" s="9" t="s">
        <v>124</v>
      </c>
      <c r="E40" s="10">
        <f>SUM(E11,E34,E38)</f>
      </c>
    </row>
  </sheetData>
  <mergeCells count="5">
    <mergeCell ref="A1:G1"/>
    <mergeCell ref="A2:G2"/>
    <mergeCell ref="A4:G4"/>
    <mergeCell ref="A12:G12"/>
    <mergeCell ref="A35:G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42" customWidth="1"/>
    <col min="2" max="9" width="6" customWidth="1"/>
  </cols>
  <sheetData>
    <row r="1" ht="24" customHeight="1" spans="1:9" x14ac:dyDescent="0.25">
      <c r="A1" s="11" t="s">
        <v>125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A3" s="9" t="s">
        <v>126</v>
      </c>
      <c r="B3" s="12" t="s">
        <v>127</v>
      </c>
      <c r="C3" s="12" t="s">
        <v>128</v>
      </c>
      <c r="D3" s="12" t="s">
        <v>129</v>
      </c>
      <c r="E3" s="12" t="s">
        <v>130</v>
      </c>
      <c r="F3" s="12" t="s">
        <v>131</v>
      </c>
      <c r="G3" s="12" t="s">
        <v>132</v>
      </c>
      <c r="H3" s="12" t="s">
        <v>133</v>
      </c>
      <c r="I3" s="12" t="s">
        <v>134</v>
      </c>
    </row>
    <row r="4" spans="1:9" x14ac:dyDescent="0.25">
      <c r="A4" t="s">
        <v>135</v>
      </c>
      <c r="B4" s="13"/>
      <c r="C4" s="14"/>
      <c r="D4" s="14"/>
      <c r="E4" s="14"/>
      <c r="F4" s="14"/>
      <c r="G4" s="14"/>
      <c r="H4" s="14"/>
      <c r="I4" s="14"/>
    </row>
    <row r="5" spans="1:9" x14ac:dyDescent="0.25">
      <c r="A5" t="s">
        <v>136</v>
      </c>
      <c r="B5" s="13"/>
      <c r="C5" s="13"/>
      <c r="D5" s="14"/>
      <c r="E5" s="14"/>
      <c r="F5" s="14"/>
      <c r="G5" s="14"/>
      <c r="H5" s="14"/>
      <c r="I5" s="14"/>
    </row>
    <row r="6" spans="1:9" x14ac:dyDescent="0.25">
      <c r="A6" t="s">
        <v>137</v>
      </c>
      <c r="B6" s="14"/>
      <c r="C6" s="13"/>
      <c r="D6" s="14"/>
      <c r="E6" s="14"/>
      <c r="F6" s="13"/>
      <c r="G6" s="14"/>
      <c r="H6" s="14"/>
      <c r="I6" s="14"/>
    </row>
    <row r="7" spans="1:9" x14ac:dyDescent="0.25">
      <c r="A7" t="s">
        <v>138</v>
      </c>
      <c r="B7" s="14"/>
      <c r="C7" s="13"/>
      <c r="D7" s="13"/>
      <c r="E7" s="13"/>
      <c r="F7" s="13"/>
      <c r="G7" s="13"/>
      <c r="H7" s="14"/>
      <c r="I7" s="14"/>
    </row>
    <row r="8" spans="1:9" x14ac:dyDescent="0.25">
      <c r="A8" t="s">
        <v>139</v>
      </c>
      <c r="B8" s="14"/>
      <c r="C8" s="13"/>
      <c r="D8" s="13"/>
      <c r="E8" s="13"/>
      <c r="F8" s="13"/>
      <c r="G8" s="13"/>
      <c r="H8" s="13"/>
      <c r="I8" s="13"/>
    </row>
    <row r="9" spans="1:9" x14ac:dyDescent="0.25">
      <c r="A9" t="s">
        <v>140</v>
      </c>
      <c r="B9" s="13"/>
      <c r="C9" s="13"/>
      <c r="D9" s="14"/>
      <c r="E9" s="13"/>
      <c r="F9" s="14"/>
      <c r="G9" s="13"/>
      <c r="H9" s="13"/>
      <c r="I9" s="14"/>
    </row>
    <row r="10" spans="1:9" x14ac:dyDescent="0.25">
      <c r="A10" t="s">
        <v>141</v>
      </c>
      <c r="B10" s="14"/>
      <c r="C10" s="13"/>
      <c r="D10" s="13"/>
      <c r="E10" s="13"/>
      <c r="F10" s="13"/>
      <c r="G10" s="13"/>
      <c r="H10" s="13"/>
      <c r="I10" s="13"/>
    </row>
    <row r="11" spans="1:9" x14ac:dyDescent="0.25">
      <c r="A11" t="s">
        <v>142</v>
      </c>
      <c r="B11" s="14"/>
      <c r="C11" s="13"/>
      <c r="D11" s="13"/>
      <c r="E11" s="13"/>
      <c r="F11" s="13"/>
      <c r="G11" s="13"/>
      <c r="H11" s="13"/>
      <c r="I11" s="13"/>
    </row>
    <row r="12" spans="1:9" x14ac:dyDescent="0.25">
      <c r="A12" t="s">
        <v>143</v>
      </c>
      <c r="B12" s="14"/>
      <c r="C12" s="14"/>
      <c r="D12" s="13"/>
      <c r="E12" s="13"/>
      <c r="F12" s="13"/>
      <c r="G12" s="13"/>
      <c r="H12" s="13"/>
      <c r="I12" s="13"/>
    </row>
    <row r="13" spans="1:9" x14ac:dyDescent="0.25">
      <c r="A13" t="s">
        <v>144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t="s">
        <v>145</v>
      </c>
      <c r="B14" s="14"/>
      <c r="C14" s="13"/>
      <c r="D14" s="13"/>
      <c r="E14" s="13"/>
      <c r="F14" s="13"/>
      <c r="G14" s="13"/>
      <c r="H14" s="13"/>
      <c r="I14" s="13"/>
    </row>
    <row r="15" spans="1:9" x14ac:dyDescent="0.25">
      <c r="A15" t="s">
        <v>146</v>
      </c>
      <c r="B15" s="14"/>
      <c r="C15" s="14"/>
      <c r="D15" s="14"/>
      <c r="E15" s="14"/>
      <c r="F15" s="14"/>
      <c r="G15" s="14"/>
      <c r="H15" s="14"/>
      <c r="I15" s="13"/>
    </row>
    <row r="16" spans="1:9" x14ac:dyDescent="0.25">
      <c r="A16" t="s">
        <v>147</v>
      </c>
      <c r="B16" s="14"/>
      <c r="C16" s="14"/>
      <c r="D16" s="14"/>
      <c r="E16" s="14"/>
      <c r="F16" s="14"/>
      <c r="G16" s="14"/>
      <c r="H16" s="13"/>
      <c r="I16" s="13"/>
    </row>
    <row r="18" spans="1:9" x14ac:dyDescent="0.25">
      <c r="A18" s="15" t="s">
        <v>148</v>
      </c>
      <c r="B18" s="15"/>
      <c r="C18" s="15"/>
      <c r="D18" s="15"/>
      <c r="E18" s="15"/>
      <c r="F18" s="15"/>
      <c r="G18" s="15"/>
      <c r="H18" s="15"/>
      <c r="I18" s="15"/>
    </row>
  </sheetData>
  <mergeCells count="2">
    <mergeCell ref="A1:I1"/>
    <mergeCell ref="A18:I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Budget</dc:creator>
  <dc:title/>
  <dc:subject/>
  <dc:description/>
  <cp:keywords/>
  <cp:category/>
  <cp:lastModifiedBy>Unknown</cp:lastModifiedBy>
  <dcterms:created xsi:type="dcterms:W3CDTF">2026-09-30T07:34:00Z</dcterms:created>
  <dcterms:modified xsi:type="dcterms:W3CDTF">2026-09-30T07:34:00Z</dcterms:modified>
</cp:coreProperties>
</file>