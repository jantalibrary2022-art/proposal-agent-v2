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Timeline" state="visible" r:id="rId5"/>
  </sheets>
  <calcPr calcId="171027"/>
</workbook>
</file>

<file path=xl/sharedStrings.xml><?xml version="1.0" encoding="utf-8"?>
<sst xmlns="http://schemas.openxmlformats.org/spreadsheetml/2006/main" count="130" uniqueCount="122">
  <si>
    <t>Project Budget — Rooted Resilience: Natural Farming for Climate Resilience and Livelihood Security of PVTG Households in Durgakondal Block, Uttar Bastar Kanker, Chhattisgarh</t>
  </si>
  <si>
    <t>Amber cells are estimated rates. Confirm or replace them; see the 'Rates to Confirm' sheet. Totals recalculate automatically.</t>
  </si>
  <si>
    <t>Item</t>
  </si>
  <si>
    <t>Unit</t>
  </si>
  <si>
    <t>Unit cost (₹)</t>
  </si>
  <si>
    <t>Quantity</t>
  </si>
  <si>
    <t>Total (₹)</t>
  </si>
  <si>
    <t>Contributes to</t>
  </si>
  <si>
    <t>Source / note</t>
  </si>
  <si>
    <t>A. Personnel &amp; Salaries</t>
  </si>
  <si>
    <t>Project Manager (Kanker-based, full time)</t>
  </si>
  <si>
    <t>person-month</t>
  </si>
  <si>
    <t>All outcomes; management and convergence</t>
  </si>
  <si>
    <t>Sector estimate for a remote-block NGO programme manager; an unverified Bihan BPM listing shows about ₹39,875</t>
  </si>
  <si>
    <t>Natural Farming / Agronomy Specialist</t>
  </si>
  <si>
    <t>O1, O2; CRP training and demo plots</t>
  </si>
  <si>
    <t>Above the BPKP floor of ₹15,000–20,000 honorarium (NITI BPKP guidelines), as a project-level specialist post</t>
  </si>
  <si>
    <t>Field Coordinators (2; one holds FRA and convergence duties)</t>
  </si>
  <si>
    <t>O1–O3; CRP supervision and FRA camps</t>
  </si>
  <si>
    <t>Above the BPKP LRP floor of ₹10,000; graduate field staff in a remote block</t>
  </si>
  <si>
    <t>MEL &amp; Data Officer (50% time)</t>
  </si>
  <si>
    <t>Output 3.3; logframe tracking</t>
  </si>
  <si>
    <t>50% of an estimated ₹25,000 per month; no authoritative norm found</t>
  </si>
  <si>
    <t>Accounts &amp; Admin Assistant (50% time)</t>
  </si>
  <si>
    <t>Financial management and compliance</t>
  </si>
  <si>
    <t>About 50% of an unverified Bihan Accountant/MIS listing of about ₹23,350</t>
  </si>
  <si>
    <t>CRP / Krishi Sakhi honorarium (20 CRPs, Q2–Q11)</t>
  </si>
  <si>
    <t>CRP-month</t>
  </si>
  <si>
    <t>O1, O2; last-mile delivery to about 50 households per CRP</t>
  </si>
  <si>
    <t>BPKP Guidelines (NITI Aayog Natural Farming portal), ₹5,000 per CRP per month [S20]</t>
  </si>
  <si>
    <t>Subtotal</t>
  </si>
  <si>
    <t>B. Capital Expenditure</t>
  </si>
  <si>
    <t>BRC shed / storage top-up (NMNF ₹1 lakh set-up support sought separately)</t>
  </si>
  <si>
    <t>per BRC</t>
  </si>
  <si>
    <t>Output 1.3; community bio-input supply</t>
  </si>
  <si>
    <t>Low-cost shed estimate; the NMNF norm excludes sheds; PWD schedule of rates or local quote needed</t>
  </si>
  <si>
    <t>C. Programme / Activity Costs</t>
  </si>
  <si>
    <t>Household listing, baseline and endline surveys</t>
  </si>
  <si>
    <t>household-round</t>
  </si>
  <si>
    <t>Output 3.3; target verification</t>
  </si>
  <si>
    <t>Enumerator cost per household interview; must be at least the state minimum wage</t>
  </si>
  <si>
    <t>CRP residential ToT (6 days) and refreshers (4 × 2 days)</t>
  </si>
  <si>
    <t>participant-day</t>
  </si>
  <si>
    <t>Output 1.1</t>
  </si>
  <si>
    <t>MANAGE STRY/ATMA cost norms, ₹400 per trainee per day residential [S21]</t>
  </si>
  <si>
    <t>CRP-led farmer field school sessions (6 per farmer)</t>
  </si>
  <si>
    <t>farmer-session</t>
  </si>
  <si>
    <t>Output 1.2; O1</t>
  </si>
  <si>
    <t>BPKP Guidelines, ₹100 per farmer per CRP-led village training [S20]</t>
  </si>
  <si>
    <t>Shared bio-input starter kits (drums, tools) per CIG</t>
  </si>
  <si>
    <t>per CIG kit</t>
  </si>
  <si>
    <t>Output 2.1; O1</t>
  </si>
  <si>
    <t>Market estimate for 1–2 drums plus tools; the NMNF ₹4,000/acre is a ceiling reference only</t>
  </si>
  <si>
    <t>Model demonstration plots</t>
  </si>
  <si>
    <t>per plot</t>
  </si>
  <si>
    <t>Output 1.3</t>
  </si>
  <si>
    <t>Inputs, signage and field-day costs per plot; no NMNF per-plot norm found</t>
  </si>
  <si>
    <t>Community seed banks (indigenous varieties)</t>
  </si>
  <si>
    <t>per seed bank</t>
  </si>
  <si>
    <t>Output 1.3; climate-resilient seed</t>
  </si>
  <si>
    <t>Storage bins, initial seed stock and registers; no official norm found</t>
  </si>
  <si>
    <t>FRA claim-facilitation camps and mapping</t>
  </si>
  <si>
    <t>per camp</t>
  </si>
  <si>
    <t>Output 3.1; O3</t>
  </si>
  <si>
    <t>Venue, documentation, GPS mapping and refreshments; no Tribal Department norm found</t>
  </si>
  <si>
    <t>Block convergence meetings (quarterly)</t>
  </si>
  <si>
    <t>per meeting</t>
  </si>
  <si>
    <t>Output 3.2</t>
  </si>
  <si>
    <t>Venue and refreshments for a block-level meeting</t>
  </si>
  <si>
    <t>Exposure visits for CRPs and lead farmers</t>
  </si>
  <si>
    <t>per participant</t>
  </si>
  <si>
    <t>Output 2.2</t>
  </si>
  <si>
    <t>Travel, stay and food for an in-state visit; the BPKP 7-day training with exposure visit is a cross-check</t>
  </si>
  <si>
    <t>CIG formation and orientation</t>
  </si>
  <si>
    <t>per CIG</t>
  </si>
  <si>
    <t>Output 2.1</t>
  </si>
  <si>
    <t>Registers, stationery and an orientation meeting per CIG</t>
  </si>
  <si>
    <t>Staff field travel and mobility</t>
  </si>
  <si>
    <t>month</t>
  </si>
  <si>
    <t>All outputs; supervision in remote habitations</t>
  </si>
  <si>
    <t>Fuel and 2-wheeler reimbursement for field staff; local quotes needed</t>
  </si>
  <si>
    <t>Mid-term review and learning documentation</t>
  </si>
  <si>
    <t>lump sum</t>
  </si>
  <si>
    <t>Output 3.3</t>
  </si>
  <si>
    <t>External reviewer days plus a case-study documentation lump sum</t>
  </si>
  <si>
    <t>D. Administrative / Overheads</t>
  </si>
  <si>
    <t>Field office running, Durgakondal (rent, utilities, internet)</t>
  </si>
  <si>
    <t>Operations base</t>
  </si>
  <si>
    <t>Below the BPKP ₹20,000/month cluster-office norm (which includes a DEO) because data work sits with the MEL officer; rent quote needed</t>
  </si>
  <si>
    <t>Statutory audit and compliance</t>
  </si>
  <si>
    <t>year</t>
  </si>
  <si>
    <t>Donor compliance</t>
  </si>
  <si>
    <t>Typical CA fee for a project audit; quotes needed</t>
  </si>
  <si>
    <t>GRAND TOTAL</t>
  </si>
  <si>
    <t>Implementation Timeline</t>
  </si>
  <si>
    <t>Activity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</si>
  <si>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</si>
  <si>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</si>
  <si>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</si>
  <si>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</si>
  <si>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</si>
  <si>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</si>
  <si>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</si>
  <si>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</si>
  <si>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</si>
  <si>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</si>
  <si>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</si>
  <si>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</si>
  <si>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A1 PVTG verification, household listing and baseline</t>
  </si>
  <si>
    <t>A2 CRP selection, ToT and refreshers</t>
  </si>
  <si>
    <t>A2 CRP field support (honorarium period)</t>
  </si>
  <si>
    <t>A5 CIG formation and starter kits</t>
  </si>
  <si>
    <t>A3 Farmer field schools (Kharif and Rabi)</t>
  </si>
  <si>
    <t>A4 Model demonstration plots</t>
  </si>
  <si>
    <t>A4 BRC sheds and community seed banks</t>
  </si>
  <si>
    <t>A6 FRA claim-facilitation camps</t>
  </si>
  <si>
    <t>A6 NMNF enrolment, PM-JANMAN linkage and convergence meetings</t>
  </si>
  <si>
    <t>A5 Exposure visits</t>
  </si>
  <si>
    <t>A5 CIG aggregation and FPO linkage</t>
  </si>
  <si>
    <t>A7 Mid-term review</t>
  </si>
  <si>
    <t>A7 Endline, documentation and handover</t>
  </si>
  <si>
    <t>Shaded cells = active quarters. Q1–Q2 mobilisation; Q3–Q6 capacity-building &amp; assets; Q7–Q8 consolidation &amp; transition.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</si>
</sst>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6" x14ac:knownFonts="1">
    <font>
      <color theme="1"/>
      <family val="2"/>
      <scheme val="minor"/>
      <sz val="11"/>
      <name val="Calibri"/>
    </font>
    <font>
      <b/>
      <color rgb="FF0F3D34"/>
      <sz val="14"/>
    </font>
    <font>
      <i/>
      <color rgb="FF8A5A00"/>
      <sz val="9"/>
    </font>
    <font>
      <b/>
      <color rgb="FFFFFFFF"/>
    </font>
    <font>
      <b/>
      <color rgb="FF0F3D34"/>
    </font>
    <font>
      <i/>
      <color rgb="FF5A6763"/>
      <sz val="9"/>
    </font>
  </fonts>
  <fills count="6">
    <fill>
      <patternFill patternType="none"/>
    </fill>
    <fill>
      <patternFill patternType="gray125"/>
    </fill>
    <fill>
      <patternFill patternType="solid">
        <fgColor rgb="FF0F3D34"/>
      </patternFill>
    </fill>
    <fill>
      <patternFill patternType="solid">
        <fgColor rgb="FF0F6E5C"/>
      </patternFill>
    </fill>
    <fill>
      <patternFill patternType="solid">
        <fgColor rgb="FFFCE8CC"/>
      </patternFill>
    </fill>
    <fill>
      <patternFill patternType="solid">
        <fgColor rgb="FF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164" fontId="0" fillId="4" borderId="0" xfId="0" applyNumberFormat="1" applyFill="1"/>
    <xf numFmtId="164" fontId="0" fillId="0" borderId="0" xfId="0" applyNumberFormat="1"/>
    <xf numFmtId="0" fontId="4" fillId="5" borderId="0" xfId="0" applyFont="1" applyFill="1"/>
    <xf numFmtId="164" fontId="4" fillId="5" borderId="0" xfId="0" applyNumberFormat="1" applyFont="1" applyFill="1"/>
    <xf numFmtId="0" fontId="3" fillId="2" borderId="0" xfId="0" applyFont="1" applyFill="1"/>
    <xf numFmtId="164" fontId="3" fillId="2" borderId="0" xfId="0" applyNumberFormat="1" applyFont="1" applyFill="1"/>
    <xf numFmtId="0" fontId="1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34" customWidth="1"/>
    <col min="2" max="2" width="13" customWidth="1"/>
    <col min="3" max="3" width="14" customWidth="1"/>
    <col min="5" max="5" width="16" customWidth="1"/>
    <col min="6" max="6" width="26" customWidth="1"/>
    <col min="7" max="7" width="34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/>
      <c r="C4" s="4"/>
      <c r="D4" s="4"/>
      <c r="E4" s="4"/>
      <c r="F4" s="4"/>
      <c r="G4" s="4"/>
    </row>
    <row r="5" spans="1:7" x14ac:dyDescent="0.25">
      <c r="A5" t="s">
        <v>10</v>
      </c>
      <c r="B5" t="s">
        <v>11</v>
      </c>
      <c r="C5" s="5">
        <v>33000</v>
      </c>
      <c r="D5">
        <v>36</v>
      </c>
      <c r="E5" s="6">
        <f>C5*D5</f>
      </c>
      <c r="F5" t="s">
        <v>12</v>
      </c>
      <c r="G5" t="s">
        <v>13</v>
      </c>
    </row>
    <row r="6" spans="1:7" x14ac:dyDescent="0.25">
      <c r="A6" t="s">
        <v>14</v>
      </c>
      <c r="B6" t="s">
        <v>11</v>
      </c>
      <c r="C6" s="5">
        <v>22000</v>
      </c>
      <c r="D6">
        <v>36</v>
      </c>
      <c r="E6" s="6">
        <f>C6*D6</f>
      </c>
      <c r="F6" t="s">
        <v>15</v>
      </c>
      <c r="G6" t="s">
        <v>16</v>
      </c>
    </row>
    <row r="7" spans="1:7" x14ac:dyDescent="0.25">
      <c r="A7" t="s">
        <v>17</v>
      </c>
      <c r="B7" t="s">
        <v>11</v>
      </c>
      <c r="C7" s="5">
        <v>14000</v>
      </c>
      <c r="D7">
        <v>72</v>
      </c>
      <c r="E7" s="6">
        <f>C7*D7</f>
      </c>
      <c r="F7" t="s">
        <v>18</v>
      </c>
      <c r="G7" t="s">
        <v>19</v>
      </c>
    </row>
    <row r="8" spans="1:7" x14ac:dyDescent="0.25">
      <c r="A8" t="s">
        <v>20</v>
      </c>
      <c r="B8" t="s">
        <v>11</v>
      </c>
      <c r="C8" s="5">
        <v>12500</v>
      </c>
      <c r="D8">
        <v>36</v>
      </c>
      <c r="E8" s="6">
        <f>C8*D8</f>
      </c>
      <c r="F8" t="s">
        <v>21</v>
      </c>
      <c r="G8" t="s">
        <v>22</v>
      </c>
    </row>
    <row r="9" spans="1:7" x14ac:dyDescent="0.25">
      <c r="A9" t="s">
        <v>23</v>
      </c>
      <c r="B9" t="s">
        <v>11</v>
      </c>
      <c r="C9" s="5">
        <v>10000</v>
      </c>
      <c r="D9">
        <v>36</v>
      </c>
      <c r="E9" s="6">
        <f>C9*D9</f>
      </c>
      <c r="F9" t="s">
        <v>24</v>
      </c>
      <c r="G9" t="s">
        <v>25</v>
      </c>
    </row>
    <row r="10" spans="1:7" x14ac:dyDescent="0.25">
      <c r="A10" t="s">
        <v>26</v>
      </c>
      <c r="B10" t="s">
        <v>27</v>
      </c>
      <c r="C10" s="6">
        <v>5000</v>
      </c>
      <c r="D10">
        <v>600</v>
      </c>
      <c r="E10" s="6">
        <f>C10*D10</f>
      </c>
      <c r="F10" t="s">
        <v>28</v>
      </c>
      <c r="G10" t="s">
        <v>29</v>
      </c>
    </row>
    <row r="11" spans="4:5" x14ac:dyDescent="0.25">
      <c r="D11" s="7" t="s">
        <v>30</v>
      </c>
      <c r="E11" s="8">
        <f>SUM(E5:E10)</f>
      </c>
    </row>
    <row r="12" spans="1:7" x14ac:dyDescent="0.25">
      <c r="A12" s="4" t="s">
        <v>31</v>
      </c>
      <c r="B12" s="4"/>
      <c r="C12" s="4"/>
      <c r="D12" s="4"/>
      <c r="E12" s="4"/>
      <c r="F12" s="4"/>
      <c r="G12" s="4"/>
    </row>
    <row r="13" spans="1:7" x14ac:dyDescent="0.25">
      <c r="A13" t="s">
        <v>32</v>
      </c>
      <c r="B13" t="s">
        <v>33</v>
      </c>
      <c r="C13" s="5">
        <v>50000</v>
      </c>
      <c r="D13">
        <v>5</v>
      </c>
      <c r="E13" s="6">
        <f>C13*D13</f>
      </c>
      <c r="F13" t="s">
        <v>34</v>
      </c>
      <c r="G13" t="s">
        <v>35</v>
      </c>
    </row>
    <row r="14" spans="4:5" x14ac:dyDescent="0.25">
      <c r="D14" s="7" t="s">
        <v>30</v>
      </c>
      <c r="E14" s="8">
        <f>SUM(E13:E13)</f>
      </c>
    </row>
    <row r="15" spans="1:7" x14ac:dyDescent="0.25">
      <c r="A15" s="4" t="s">
        <v>36</v>
      </c>
      <c r="B15" s="4"/>
      <c r="C15" s="4"/>
      <c r="D15" s="4"/>
      <c r="E15" s="4"/>
      <c r="F15" s="4"/>
      <c r="G15" s="4"/>
    </row>
    <row r="16" spans="1:7" x14ac:dyDescent="0.25">
      <c r="A16" t="s">
        <v>37</v>
      </c>
      <c r="B16" t="s">
        <v>38</v>
      </c>
      <c r="C16" s="5">
        <v>175</v>
      </c>
      <c r="D16">
        <v>2000</v>
      </c>
      <c r="E16" s="6">
        <f>C16*D16</f>
      </c>
      <c r="F16" t="s">
        <v>39</v>
      </c>
      <c r="G16" t="s">
        <v>40</v>
      </c>
    </row>
    <row r="17" spans="1:7" x14ac:dyDescent="0.25">
      <c r="A17" t="s">
        <v>41</v>
      </c>
      <c r="B17" t="s">
        <v>42</v>
      </c>
      <c r="C17" s="6">
        <v>400</v>
      </c>
      <c r="D17">
        <v>280</v>
      </c>
      <c r="E17" s="6">
        <f>C17*D17</f>
      </c>
      <c r="F17" t="s">
        <v>43</v>
      </c>
      <c r="G17" t="s">
        <v>44</v>
      </c>
    </row>
    <row r="18" spans="1:7" x14ac:dyDescent="0.25">
      <c r="A18" t="s">
        <v>45</v>
      </c>
      <c r="B18" t="s">
        <v>46</v>
      </c>
      <c r="C18" s="6">
        <v>100</v>
      </c>
      <c r="D18">
        <v>6000</v>
      </c>
      <c r="E18" s="6">
        <f>C18*D18</f>
      </c>
      <c r="F18" t="s">
        <v>47</v>
      </c>
      <c r="G18" t="s">
        <v>48</v>
      </c>
    </row>
    <row r="19" spans="1:7" x14ac:dyDescent="0.25">
      <c r="A19" t="s">
        <v>49</v>
      </c>
      <c r="B19" t="s">
        <v>50</v>
      </c>
      <c r="C19" s="5">
        <v>2500</v>
      </c>
      <c r="D19">
        <v>100</v>
      </c>
      <c r="E19" s="6">
        <f>C19*D19</f>
      </c>
      <c r="F19" t="s">
        <v>51</v>
      </c>
      <c r="G19" t="s">
        <v>52</v>
      </c>
    </row>
    <row r="20" spans="1:7" x14ac:dyDescent="0.25">
      <c r="A20" t="s">
        <v>53</v>
      </c>
      <c r="B20" t="s">
        <v>54</v>
      </c>
      <c r="C20" s="5">
        <v>6000</v>
      </c>
      <c r="D20">
        <v>20</v>
      </c>
      <c r="E20" s="6">
        <f>C20*D20</f>
      </c>
      <c r="F20" t="s">
        <v>55</v>
      </c>
      <c r="G20" t="s">
        <v>56</v>
      </c>
    </row>
    <row r="21" spans="1:7" x14ac:dyDescent="0.25">
      <c r="A21" t="s">
        <v>57</v>
      </c>
      <c r="B21" t="s">
        <v>58</v>
      </c>
      <c r="C21" s="5">
        <v>20000</v>
      </c>
      <c r="D21">
        <v>5</v>
      </c>
      <c r="E21" s="6">
        <f>C21*D21</f>
      </c>
      <c r="F21" t="s">
        <v>59</v>
      </c>
      <c r="G21" t="s">
        <v>60</v>
      </c>
    </row>
    <row r="22" spans="1:7" x14ac:dyDescent="0.25">
      <c r="A22" t="s">
        <v>61</v>
      </c>
      <c r="B22" t="s">
        <v>62</v>
      </c>
      <c r="C22" s="5">
        <v>12500</v>
      </c>
      <c r="D22">
        <v>8</v>
      </c>
      <c r="E22" s="6">
        <f>C22*D22</f>
      </c>
      <c r="F22" t="s">
        <v>63</v>
      </c>
      <c r="G22" t="s">
        <v>64</v>
      </c>
    </row>
    <row r="23" spans="1:7" x14ac:dyDescent="0.25">
      <c r="A23" t="s">
        <v>65</v>
      </c>
      <c r="B23" t="s">
        <v>66</v>
      </c>
      <c r="C23" s="5">
        <v>4000</v>
      </c>
      <c r="D23">
        <v>12</v>
      </c>
      <c r="E23" s="6">
        <f>C23*D23</f>
      </c>
      <c r="F23" t="s">
        <v>67</v>
      </c>
      <c r="G23" t="s">
        <v>68</v>
      </c>
    </row>
    <row r="24" spans="1:7" x14ac:dyDescent="0.25">
      <c r="A24" t="s">
        <v>69</v>
      </c>
      <c r="B24" t="s">
        <v>70</v>
      </c>
      <c r="C24" s="5">
        <v>2500</v>
      </c>
      <c r="D24">
        <v>40</v>
      </c>
      <c r="E24" s="6">
        <f>C24*D24</f>
      </c>
      <c r="F24" t="s">
        <v>71</v>
      </c>
      <c r="G24" t="s">
        <v>72</v>
      </c>
    </row>
    <row r="25" spans="1:7" x14ac:dyDescent="0.25">
      <c r="A25" t="s">
        <v>73</v>
      </c>
      <c r="B25" t="s">
        <v>74</v>
      </c>
      <c r="C25" s="5">
        <v>1000</v>
      </c>
      <c r="D25">
        <v>100</v>
      </c>
      <c r="E25" s="6">
        <f>C25*D25</f>
      </c>
      <c r="F25" t="s">
        <v>75</v>
      </c>
      <c r="G25" t="s">
        <v>76</v>
      </c>
    </row>
    <row r="26" spans="1:7" x14ac:dyDescent="0.25">
      <c r="A26" t="s">
        <v>77</v>
      </c>
      <c r="B26" t="s">
        <v>78</v>
      </c>
      <c r="C26" s="5">
        <v>9000</v>
      </c>
      <c r="D26">
        <v>36</v>
      </c>
      <c r="E26" s="6">
        <f>C26*D26</f>
      </c>
      <c r="F26" t="s">
        <v>79</v>
      </c>
      <c r="G26" t="s">
        <v>80</v>
      </c>
    </row>
    <row r="27" spans="1:7" x14ac:dyDescent="0.25">
      <c r="A27" t="s">
        <v>81</v>
      </c>
      <c r="B27" t="s">
        <v>82</v>
      </c>
      <c r="C27" s="5">
        <v>100000</v>
      </c>
      <c r="D27">
        <v>1</v>
      </c>
      <c r="E27" s="6">
        <f>C27*D27</f>
      </c>
      <c r="F27" t="s">
        <v>83</v>
      </c>
      <c r="G27" t="s">
        <v>84</v>
      </c>
    </row>
    <row r="28" spans="4:5" x14ac:dyDescent="0.25">
      <c r="D28" s="7" t="s">
        <v>30</v>
      </c>
      <c r="E28" s="8">
        <f>SUM(E16:E27)</f>
      </c>
    </row>
    <row r="29" spans="1:7" x14ac:dyDescent="0.25">
      <c r="A29" s="4" t="s">
        <v>85</v>
      </c>
      <c r="B29" s="4"/>
      <c r="C29" s="4"/>
      <c r="D29" s="4"/>
      <c r="E29" s="4"/>
      <c r="F29" s="4"/>
      <c r="G29" s="4"/>
    </row>
    <row r="30" spans="1:7" x14ac:dyDescent="0.25">
      <c r="A30" t="s">
        <v>86</v>
      </c>
      <c r="B30" t="s">
        <v>78</v>
      </c>
      <c r="C30" s="5">
        <v>12000</v>
      </c>
      <c r="D30">
        <v>36</v>
      </c>
      <c r="E30" s="6">
        <f>C30*D30</f>
      </c>
      <c r="F30" t="s">
        <v>87</v>
      </c>
      <c r="G30" t="s">
        <v>88</v>
      </c>
    </row>
    <row r="31" spans="1:7" x14ac:dyDescent="0.25">
      <c r="A31" t="s">
        <v>89</v>
      </c>
      <c r="B31" t="s">
        <v>90</v>
      </c>
      <c r="C31" s="5">
        <v>35000</v>
      </c>
      <c r="D31">
        <v>3</v>
      </c>
      <c r="E31" s="6">
        <f>C31*D31</f>
      </c>
      <c r="F31" t="s">
        <v>91</v>
      </c>
      <c r="G31" t="s">
        <v>92</v>
      </c>
    </row>
    <row r="32" spans="4:5" x14ac:dyDescent="0.25">
      <c r="D32" s="7" t="s">
        <v>30</v>
      </c>
      <c r="E32" s="8">
        <f>SUM(E30:E31)</f>
      </c>
    </row>
    <row r="34" spans="4:5" x14ac:dyDescent="0.25">
      <c r="D34" s="9" t="s">
        <v>93</v>
      </c>
      <c r="E34" s="10">
        <f>SUM(E11,E14,E28,E32)</f>
      </c>
    </row>
  </sheetData>
  <mergeCells count="6">
    <mergeCell ref="A1:G1"/>
    <mergeCell ref="A2:G2"/>
    <mergeCell ref="A4:G4"/>
    <mergeCell ref="A12:G12"/>
    <mergeCell ref="A15:G15"/>
    <mergeCell ref="A29:G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cols>
    <col min="1" max="1" width="42" customWidth="1"/>
    <col min="2" max="13" width="6" customWidth="1"/>
  </cols>
  <sheetData>
    <row r="1" ht="24" customHeight="1" spans="1:13" x14ac:dyDescent="0.25">
      <c r="A1" s="11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25">
      <c r="A3" s="9" t="s">
        <v>95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100</v>
      </c>
      <c r="G3" s="12" t="s">
        <v>101</v>
      </c>
      <c r="H3" s="12" t="s">
        <v>102</v>
      </c>
      <c r="I3" s="12" t="s">
        <v>103</v>
      </c>
      <c r="J3" s="12" t="s">
        <v>104</v>
      </c>
      <c r="K3" s="12" t="s">
        <v>105</v>
      </c>
      <c r="L3" s="12" t="s">
        <v>106</v>
      </c>
      <c r="M3" s="12" t="s">
        <v>107</v>
      </c>
    </row>
    <row r="4" spans="1:13" x14ac:dyDescent="0.25">
      <c r="A4" t="s">
        <v>108</v>
      </c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t="s">
        <v>109</v>
      </c>
      <c r="B5" s="13"/>
      <c r="C5" s="13"/>
      <c r="D5" s="14"/>
      <c r="E5" s="14"/>
      <c r="F5" s="13"/>
      <c r="G5" s="14"/>
      <c r="H5" s="14"/>
      <c r="I5" s="14"/>
      <c r="J5" s="13"/>
      <c r="K5" s="14"/>
      <c r="L5" s="14"/>
      <c r="M5" s="14"/>
    </row>
    <row r="6" spans="1:13" x14ac:dyDescent="0.25">
      <c r="A6" t="s">
        <v>110</v>
      </c>
      <c r="B6" s="14"/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spans="1:13" x14ac:dyDescent="0.25">
      <c r="A7" t="s">
        <v>111</v>
      </c>
      <c r="B7" s="14"/>
      <c r="C7" s="13"/>
      <c r="D7" s="13"/>
      <c r="E7" s="13"/>
      <c r="F7" s="14"/>
      <c r="G7" s="14"/>
      <c r="H7" s="14"/>
      <c r="I7" s="14"/>
      <c r="J7" s="14"/>
      <c r="K7" s="14"/>
      <c r="L7" s="14"/>
      <c r="M7" s="14"/>
    </row>
    <row r="8" spans="1:13" x14ac:dyDescent="0.25">
      <c r="A8" t="s">
        <v>112</v>
      </c>
      <c r="B8" s="14"/>
      <c r="C8" s="14"/>
      <c r="D8" s="13"/>
      <c r="E8" s="13"/>
      <c r="F8" s="13"/>
      <c r="G8" s="13"/>
      <c r="H8" s="13"/>
      <c r="I8" s="13"/>
      <c r="J8" s="13"/>
      <c r="K8" s="13"/>
      <c r="L8" s="14"/>
      <c r="M8" s="14"/>
    </row>
    <row r="9" spans="1:13" x14ac:dyDescent="0.25">
      <c r="A9" t="s">
        <v>113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</row>
    <row r="10" spans="1:13" x14ac:dyDescent="0.25">
      <c r="A10" t="s">
        <v>114</v>
      </c>
      <c r="B10" s="14"/>
      <c r="C10" s="14"/>
      <c r="D10" s="13"/>
      <c r="E10" s="13"/>
      <c r="F10" s="13"/>
      <c r="G10" s="13"/>
      <c r="H10" s="14"/>
      <c r="I10" s="14"/>
      <c r="J10" s="14"/>
      <c r="K10" s="14"/>
      <c r="L10" s="14"/>
      <c r="M10" s="14"/>
    </row>
    <row r="11" spans="1:13" x14ac:dyDescent="0.25">
      <c r="A11" t="s">
        <v>115</v>
      </c>
      <c r="B11" s="14"/>
      <c r="C11" s="13"/>
      <c r="D11" s="13"/>
      <c r="E11" s="13"/>
      <c r="F11" s="13"/>
      <c r="G11" s="13"/>
      <c r="H11" s="13"/>
      <c r="I11" s="13"/>
      <c r="J11" s="14"/>
      <c r="K11" s="14"/>
      <c r="L11" s="14"/>
      <c r="M11" s="14"/>
    </row>
    <row r="12" spans="1:13" x14ac:dyDescent="0.25">
      <c r="A12" t="s">
        <v>116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25">
      <c r="A13" t="s">
        <v>117</v>
      </c>
      <c r="B13" s="14"/>
      <c r="C13" s="14"/>
      <c r="D13" s="14"/>
      <c r="E13" s="13"/>
      <c r="F13" s="14"/>
      <c r="G13" s="14"/>
      <c r="H13" s="14"/>
      <c r="I13" s="13"/>
      <c r="J13" s="14"/>
      <c r="K13" s="14"/>
      <c r="L13" s="14"/>
      <c r="M13" s="14"/>
    </row>
    <row r="14" spans="1:13" x14ac:dyDescent="0.25">
      <c r="A14" t="s">
        <v>118</v>
      </c>
      <c r="B14" s="14"/>
      <c r="C14" s="14"/>
      <c r="D14" s="14"/>
      <c r="E14" s="14"/>
      <c r="F14" s="14"/>
      <c r="G14" s="14"/>
      <c r="H14" s="13"/>
      <c r="I14" s="13"/>
      <c r="J14" s="13"/>
      <c r="K14" s="13"/>
      <c r="L14" s="13"/>
      <c r="M14" s="13"/>
    </row>
    <row r="15" spans="1:13" x14ac:dyDescent="0.25">
      <c r="A15" t="s">
        <v>119</v>
      </c>
      <c r="B15" s="14"/>
      <c r="C15" s="14"/>
      <c r="D15" s="14"/>
      <c r="E15" s="14"/>
      <c r="F15" s="14"/>
      <c r="G15" s="13"/>
      <c r="H15" s="14"/>
      <c r="I15" s="14"/>
      <c r="J15" s="14"/>
      <c r="K15" s="14"/>
      <c r="L15" s="14"/>
      <c r="M15" s="14"/>
    </row>
    <row r="16" spans="1:13" x14ac:dyDescent="0.25">
      <c r="A16" t="s">
        <v>120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3"/>
      <c r="M16" s="13"/>
    </row>
    <row r="18" spans="1:13" x14ac:dyDescent="0.25">
      <c r="A18" s="15" t="s">
        <v>121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</sheetData>
  <mergeCells count="2">
    <mergeCell ref="A1:M1"/>
    <mergeCell ref="A18:M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Budget</dc:creator>
  <dc:title/>
  <dc:subject/>
  <dc:description/>
  <cp:keywords/>
  <cp:category/>
  <cp:lastModifiedBy>Unknown</cp:lastModifiedBy>
  <dcterms:created xsi:type="dcterms:W3CDTF">2026-09-29T12:49:00Z</dcterms:created>
  <dcterms:modified xsi:type="dcterms:W3CDTF">2026-09-29T12:49:00Z</dcterms:modified>
</cp:coreProperties>
</file>